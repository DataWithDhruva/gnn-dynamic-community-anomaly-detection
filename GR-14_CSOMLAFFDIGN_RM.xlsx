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8 sem project\"/>
    </mc:Choice>
  </mc:AlternateContent>
  <bookViews>
    <workbookView xWindow="0" yWindow="0" windowWidth="23040" windowHeight="10512" tabRatio="500" activeTab="1"/>
  </bookViews>
  <sheets>
    <sheet name="Instructions" sheetId="1" r:id="rId1"/>
    <sheet name="Traceability Matrix" sheetId="2" r:id="rId2"/>
    <sheet name="Statistics" sheetId="3" r:id="rId3"/>
  </sheets>
  <definedNames>
    <definedName name="_xlnm._FilterDatabase" localSheetId="1" hidden="1">'Traceability Matrix'!$A$1:$L$1002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8" i="3"/>
  <c r="C7" i="3"/>
  <c r="C6" i="3"/>
  <c r="C5" i="3"/>
  <c r="C4" i="3"/>
  <c r="C3" i="3"/>
  <c r="C2" i="3"/>
  <c r="A2" i="1"/>
  <c r="B2" i="1" s="1"/>
  <c r="D4" i="3" l="1"/>
  <c r="D7" i="3"/>
  <c r="D6" i="3"/>
</calcChain>
</file>

<file path=xl/sharedStrings.xml><?xml version="1.0" encoding="utf-8"?>
<sst xmlns="http://schemas.openxmlformats.org/spreadsheetml/2006/main" count="279" uniqueCount="174">
  <si>
    <t>Instructions For Completing This Document</t>
  </si>
  <si>
    <t>0)</t>
  </si>
  <si>
    <t>Please use latest circulated version for populating your data.</t>
  </si>
  <si>
    <t>1)</t>
  </si>
  <si>
    <t>Please do not merge cells. Each row represents a distinct requirement. No cell should be left as blank.</t>
  </si>
  <si>
    <t>2)</t>
  </si>
  <si>
    <t>For each requirement item under your project, complete the following:</t>
  </si>
  <si>
    <t>Rqmt ID: A unique ID number used to identify the specific requirement item. This should preferably contain the requirement area short code as the prefix.</t>
  </si>
  <si>
    <t>Requirement Item: This column should be populated with a description of the functional requirement. It can also state the non-functional requirements, e.g. performamnce, portability. Security etc.</t>
  </si>
  <si>
    <t>Requirement Status: This column should be populated with the current status of the functional requirement: 
- Open (analysis not started), 
- In-progress (ongoing analysis), 
- Cancelled (cancelled after analysis and will not be required in design onwards phases), 
- Completed (analysis completed and selected for design onwards phases). 
For a header requirement item (e.g. Verify user credentials), status should be open if all underlying requirement items (e.g. Validate encrypted password) are in open status else in-progress. All all underlying items are completed / cancelled, then header requirement can be safely marked as completed.</t>
  </si>
  <si>
    <t>Design Module: This column should be populated with the short code of design module.</t>
  </si>
  <si>
    <t>Design Reference:  Use subsections, e.g. 5.3.1, 5.3.2 etc. as appropriate. Use comma separation in case of multiple design modules / section references for a single requirement item.</t>
  </si>
  <si>
    <t>Test Case Number: This column should be populated with the test case number linked to the functional requirement. Use comma separation in case of multiple test cases for a single requirement item.</t>
  </si>
  <si>
    <t>Technical Platform of Implementation: This column should be populated with the appropriate hardware / software platform, tools etc.</t>
  </si>
  <si>
    <t>Prototype Prepared?: This column should be populated with Yes / No value, and should be demonstrated if the response is Yes.</t>
  </si>
  <si>
    <t>Name of Program / Component: This column should be populated with the appropriate name of programme / components.</t>
  </si>
  <si>
    <t>.</t>
  </si>
  <si>
    <t>Test Result Reference: This column should be populated with the name of the file with test results / output after tests followed from Test Plan.</t>
  </si>
  <si>
    <t>Additional Comments: This column should be populated with any additional comments (optional).</t>
  </si>
  <si>
    <t>3)</t>
  </si>
  <si>
    <t>Columns A-C should be filled before Internal Assessment (7th Semester Checkpoint Review) showing the completion of Analysis phase. All other columns should be emptied.</t>
  </si>
  <si>
    <t xml:space="preserve">4) </t>
  </si>
  <si>
    <t>Columns A-H should be completed before 7th Semester closure showing the completion of Design phase.  All other columns should be emptied.</t>
  </si>
  <si>
    <t xml:space="preserve">5) </t>
  </si>
  <si>
    <t>Column I-K should be filled in 8th Semester showing the completion of Coding &amp; Testing phases. All columns are now filled.</t>
  </si>
  <si>
    <t>Rqmt ID</t>
  </si>
  <si>
    <t>Requirement Item</t>
  </si>
  <si>
    <t>Requirement Analysis Status</t>
  </si>
  <si>
    <t>Design Module</t>
  </si>
  <si>
    <t>Design Reference (section# under project Report)</t>
  </si>
  <si>
    <t>Test Case
Number</t>
  </si>
  <si>
    <t>Technical Platform of Implementation</t>
  </si>
  <si>
    <t>Prototype prepared ?</t>
  </si>
  <si>
    <t>Name of Program / Component</t>
  </si>
  <si>
    <t>Own code or Reusable component (with source reference)?</t>
  </si>
  <si>
    <t xml:space="preserve">Test Results Reference </t>
  </si>
  <si>
    <t>Additional Comments (if not included in previous columns)</t>
  </si>
  <si>
    <t>FR-01</t>
  </si>
  <si>
    <t>Completed</t>
  </si>
  <si>
    <t>GD</t>
  </si>
  <si>
    <t>GD-01</t>
  </si>
  <si>
    <t>Python, PyTorch Geometric</t>
  </si>
  <si>
    <t>Yes</t>
  </si>
  <si>
    <t>Dataset Loader</t>
  </si>
  <si>
    <t>Reusable (PyG Dataset API)</t>
  </si>
  <si>
    <t>Sec 9.4.1</t>
  </si>
  <si>
    <t>FR-02</t>
  </si>
  <si>
    <t>GD-02</t>
  </si>
  <si>
    <t>Graph Constructor</t>
  </si>
  <si>
    <t>Reusable (PyG Data Object)</t>
  </si>
  <si>
    <t>FR-03</t>
  </si>
  <si>
    <t>GD-03</t>
  </si>
  <si>
    <t>Feature Handler</t>
  </si>
  <si>
    <t>Reusable (PyG Feature Matrix)</t>
  </si>
  <si>
    <t>FR-04</t>
  </si>
  <si>
    <t>GM</t>
  </si>
  <si>
    <t>GM-01</t>
  </si>
  <si>
    <t>Python, PyTorch</t>
  </si>
  <si>
    <t>GraphSAGE Model</t>
  </si>
  <si>
    <t>Own Code</t>
  </si>
  <si>
    <t>Two-layer architecture</t>
  </si>
  <si>
    <t>FR-05</t>
  </si>
  <si>
    <t>GM-02</t>
  </si>
  <si>
    <t>Own code</t>
  </si>
  <si>
    <t>Mean aggregation</t>
  </si>
  <si>
    <t>FR-06</t>
  </si>
  <si>
    <t>Train GNN model</t>
  </si>
  <si>
    <t>TR</t>
  </si>
  <si>
    <t>TR-01</t>
  </si>
  <si>
    <t>Sec 9.4.2</t>
  </si>
  <si>
    <t>100 epochs</t>
  </si>
  <si>
    <t>FR-07</t>
  </si>
  <si>
    <t>Compute training loss</t>
  </si>
  <si>
    <t>TR-02</t>
  </si>
  <si>
    <t>Loss Function</t>
  </si>
  <si>
    <t>Reusable (NLL Loss)</t>
  </si>
  <si>
    <t>Semi-supervised</t>
  </si>
  <si>
    <t>FR-08</t>
  </si>
  <si>
    <t>Evaluate classification accuracy</t>
  </si>
  <si>
    <t>EV</t>
  </si>
  <si>
    <t>EV-01</t>
  </si>
  <si>
    <t>Python</t>
  </si>
  <si>
    <t>Evaluation Module</t>
  </si>
  <si>
    <t>Train/Val/Test</t>
  </si>
  <si>
    <t>FR-09</t>
  </si>
  <si>
    <t>EV-02</t>
  </si>
  <si>
    <t>Data Split Handler</t>
  </si>
  <si>
    <t>Reusable (PyG Masks)</t>
  </si>
  <si>
    <t>Standard split</t>
  </si>
  <si>
    <t>FR-10</t>
  </si>
  <si>
    <t>EV-03</t>
  </si>
  <si>
    <t>Python, Matplotlib</t>
  </si>
  <si>
    <t>Visual analysis</t>
  </si>
  <si>
    <t>FR-11</t>
  </si>
  <si>
    <t>Open</t>
  </si>
  <si>
    <t>N/A</t>
  </si>
  <si>
    <t>No</t>
  </si>
  <si>
    <t>FR-12</t>
  </si>
  <si>
    <t>Cancelled</t>
  </si>
  <si>
    <t>FR-13</t>
  </si>
  <si>
    <t>Real-time inference performance evaluation</t>
  </si>
  <si>
    <t>EV-04</t>
  </si>
  <si>
    <t>Inference Evaluation Module</t>
  </si>
  <si>
    <t>NFR-01</t>
  </si>
  <si>
    <t>NFR-02</t>
  </si>
  <si>
    <t>Read Only</t>
  </si>
  <si>
    <t>TIG/CSE/UD/RQMT_MATX_TEMPL v1.6</t>
  </si>
  <si>
    <t>Requirements</t>
  </si>
  <si>
    <t>Designed</t>
  </si>
  <si>
    <t>Test Case Coverage</t>
  </si>
  <si>
    <t>Technical Platform</t>
  </si>
  <si>
    <t>Prototype Coverage</t>
  </si>
  <si>
    <t>Program coverage</t>
  </si>
  <si>
    <t>Test Results</t>
  </si>
  <si>
    <t>In-progress</t>
  </si>
  <si>
    <t>Load graph-structured dataset (Cora)</t>
  </si>
  <si>
    <t>Construct graph nodes &amp; edges</t>
  </si>
  <si>
    <t>Feature preprocessing &amp; normalization</t>
  </si>
  <si>
    <t>Implement GraphSAGE model</t>
  </si>
  <si>
    <t>Neighborhood aggregation mean</t>
  </si>
  <si>
    <t>ROC–AUC performance evaluation</t>
  </si>
  <si>
    <t>Train baseline ML models LR, RF, GB</t>
  </si>
  <si>
    <t>Plot ROC curve &amp; loss graphs</t>
  </si>
  <si>
    <t xml:space="preserve">Model validation </t>
  </si>
  <si>
    <t>Final model validation &amp; consistency check</t>
  </si>
  <si>
    <t>FR-14</t>
  </si>
  <si>
    <t>FR-15</t>
  </si>
  <si>
    <t>EV-05</t>
  </si>
  <si>
    <t>Matplotlib</t>
  </si>
  <si>
    <t>PyG</t>
  </si>
  <si>
    <t>SAGEConv Layer</t>
  </si>
  <si>
    <t>Training Module</t>
  </si>
  <si>
    <t>AUC Module</t>
  </si>
  <si>
    <t>Baseline Models</t>
  </si>
  <si>
    <t>Visualization</t>
  </si>
  <si>
    <t>Validation Module</t>
  </si>
  <si>
    <t>Benchmark dataset</t>
  </si>
  <si>
    <t>Node-edge mapping</t>
  </si>
  <si>
    <t>Cleaned input features</t>
  </si>
  <si>
    <t>Stable results</t>
  </si>
  <si>
    <t>Result visualization</t>
  </si>
  <si>
    <t>Comparative performance analysis</t>
  </si>
  <si>
    <t>Comparison Module</t>
  </si>
  <si>
    <t>GNN vs ML</t>
  </si>
  <si>
    <t>Evaluated inference time and model response efficiency</t>
  </si>
  <si>
    <t>Model performance efficiency</t>
  </si>
  <si>
    <t>Scalability analysis (large graphs)</t>
  </si>
  <si>
    <t>Real-time inference capability</t>
  </si>
  <si>
    <t>NFR-03</t>
  </si>
  <si>
    <t>N FR-04</t>
  </si>
  <si>
    <t>Ease of execution Jupyter</t>
  </si>
  <si>
    <t>NFR</t>
  </si>
  <si>
    <t>Jupyter</t>
  </si>
  <si>
    <t>PyTorch</t>
  </si>
  <si>
    <t>Streaming</t>
  </si>
  <si>
    <t>NFR-04</t>
  </si>
  <si>
    <t>Academic use</t>
  </si>
  <si>
    <t>Optimized training</t>
  </si>
  <si>
    <t>Future scope</t>
  </si>
  <si>
    <t>Future work</t>
  </si>
  <si>
    <t>Scalability Evaluation Module</t>
  </si>
  <si>
    <t>Performance Evaluation Module</t>
  </si>
  <si>
    <t>nteractive Jupyter Execution Environment</t>
  </si>
  <si>
    <t>Real-time Inference Pipeline</t>
  </si>
  <si>
    <t>6.4.5</t>
  </si>
  <si>
    <t>6.2.1</t>
  </si>
  <si>
    <t>6.2.2</t>
  </si>
  <si>
    <t>6.2.4</t>
  </si>
  <si>
    <t>6.2.3</t>
  </si>
  <si>
    <t>6.2.5</t>
  </si>
  <si>
    <t>6.2.6</t>
  </si>
  <si>
    <t>6.2.7</t>
  </si>
  <si>
    <t>6.2.8</t>
  </si>
  <si>
    <t>6.2.9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</si>
</sst>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1" x14ac:knownFonts="1">
    <font>
      <sz val="10"/>
      <color rgb="FF000000"/>
      <name val="Arial"/>
      <charset val="1"/>
    </font>
    <font>
      <b/>
      <sz val="8"/>
      <color rgb="FF4F81BD"/>
      <name val="Arial"/>
      <charset val="1"/>
    </font>
    <font>
      <b/>
      <sz val="7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8"/>
      <name val="Arial"/>
      <charset val="1"/>
    </font>
    <font>
      <b/>
      <i/>
      <sz val="8"/>
      <name val="Arial"/>
      <charset val="1"/>
    </font>
    <font>
      <b/>
      <sz val="8"/>
      <color rgb="FFFF0000"/>
      <name val="Arial"/>
      <charset val="1"/>
    </font>
    <font>
      <sz val="8"/>
      <name val="Arial"/>
      <charset val="1"/>
    </font>
    <font>
      <sz val="7"/>
      <name val="Arial"/>
      <charset val="1"/>
    </font>
    <font>
      <sz val="8"/>
      <color rgb="FFFF0000"/>
      <name val="Arial"/>
      <charset val="1"/>
    </font>
    <font>
      <sz val="10"/>
      <color rgb="FFFF0000"/>
      <name val="Arial"/>
      <charset val="1"/>
    </font>
    <font>
      <sz val="11"/>
      <color rgb="FFFF0000"/>
      <name val="Cambria"/>
      <charset val="1"/>
    </font>
    <font>
      <b/>
      <sz val="8"/>
      <color rgb="FFFFFFFF"/>
      <name val="Arial"/>
      <charset val="1"/>
    </font>
    <font>
      <sz val="7"/>
      <color rgb="FF4F81BD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C0C0C0"/>
        <bgColor rgb="FFD9D9D9"/>
      </patternFill>
    </fill>
    <fill>
      <patternFill patternType="solid">
        <fgColor rgb="FF99CCFF"/>
        <bgColor rgb="FFC0C0C0"/>
      </patternFill>
    </fill>
    <fill>
      <patternFill patternType="solid">
        <fgColor rgb="FFEAF1DD"/>
        <bgColor rgb="FFFFFFCC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 wrapText="1"/>
    </xf>
    <xf numFmtId="0" fontId="3" fillId="0" borderId="0" xfId="0" applyFont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49" fontId="5" fillId="0" borderId="0" xfId="0" applyNumberFormat="1" applyFont="1" applyAlignment="1">
      <alignment vertical="top" wrapText="1"/>
    </xf>
    <xf numFmtId="49" fontId="7" fillId="4" borderId="1" xfId="0" applyNumberFormat="1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center" vertical="top" wrapText="1"/>
    </xf>
    <xf numFmtId="49" fontId="8" fillId="5" borderId="1" xfId="0" applyNumberFormat="1" applyFont="1" applyFill="1" applyBorder="1" applyAlignment="1">
      <alignment horizontal="center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164" fontId="7" fillId="4" borderId="1" xfId="0" applyNumberFormat="1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49" fontId="7" fillId="4" borderId="1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49" fontId="11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vertical="top" wrapText="1"/>
    </xf>
    <xf numFmtId="49" fontId="10" fillId="0" borderId="1" xfId="0" applyNumberFormat="1" applyFont="1" applyBorder="1" applyAlignment="1">
      <alignment horizontal="center" vertical="top" wrapText="1"/>
    </xf>
    <xf numFmtId="164" fontId="11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164" fontId="12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49" fontId="10" fillId="0" borderId="2" xfId="0" applyNumberFormat="1" applyFont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center" vertical="top" wrapText="1"/>
    </xf>
    <xf numFmtId="164" fontId="11" fillId="0" borderId="4" xfId="0" applyNumberFormat="1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center" vertical="top" wrapText="1"/>
    </xf>
    <xf numFmtId="164" fontId="10" fillId="0" borderId="6" xfId="0" applyNumberFormat="1" applyFont="1" applyBorder="1" applyAlignment="1">
      <alignment horizontal="center" vertical="top" wrapText="1"/>
    </xf>
    <xf numFmtId="164" fontId="12" fillId="0" borderId="7" xfId="0" applyNumberFormat="1" applyFont="1" applyBorder="1" applyAlignment="1">
      <alignment horizontal="center" vertical="top"/>
    </xf>
    <xf numFmtId="164" fontId="10" fillId="0" borderId="8" xfId="0" applyNumberFormat="1" applyFont="1" applyBorder="1" applyAlignment="1">
      <alignment horizontal="center" vertical="top"/>
    </xf>
    <xf numFmtId="164" fontId="10" fillId="0" borderId="5" xfId="0" applyNumberFormat="1" applyFont="1" applyBorder="1" applyAlignment="1">
      <alignment horizontal="center" vertical="top"/>
    </xf>
    <xf numFmtId="49" fontId="11" fillId="0" borderId="3" xfId="0" applyNumberFormat="1" applyFont="1" applyBorder="1" applyAlignment="1">
      <alignment horizontal="left" vertical="top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/>
    <xf numFmtId="0" fontId="15" fillId="2" borderId="0" xfId="0" applyFont="1" applyFill="1"/>
    <xf numFmtId="0" fontId="3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17" fillId="0" borderId="1" xfId="0" applyFont="1" applyBorder="1"/>
    <xf numFmtId="49" fontId="17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3" fillId="0" borderId="0" xfId="0" applyFont="1"/>
    <xf numFmtId="0" fontId="19" fillId="6" borderId="1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7" fillId="0" borderId="0" xfId="0" applyFont="1"/>
    <xf numFmtId="0" fontId="3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49" fontId="10" fillId="0" borderId="9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164" fontId="12" fillId="0" borderId="9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1">
    <dxf>
      <fill>
        <patternFill>
          <bgColor rgb="FFCCFFCC"/>
        </patternFill>
      </fill>
    </dxf>
    <dxf>
      <fill>
        <patternFill>
          <bgColor rgb="FFFFCC99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FFCC99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6EFCE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DD"/>
      <rgbColor rgb="FFCCFFCC"/>
      <rgbColor rgb="FFFFEB9C"/>
      <rgbColor rgb="FF99CCFF"/>
      <rgbColor rgb="FFFFC7CE"/>
      <rgbColor rgb="FFCC99FF"/>
      <rgbColor rgb="FFFFCC99"/>
      <rgbColor rgb="FF4F81BD"/>
      <rgbColor rgb="FF33CCCC"/>
      <rgbColor rgb="FF92D050"/>
      <rgbColor rgb="FFFFCC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200" b="0" u="none" strike="noStrike">
                <a:solidFill>
                  <a:srgbClr val="595959"/>
                </a:solidFill>
                <a:uFillTx/>
                <a:latin typeface="Roboto"/>
                <a:ea typeface="DejaVu Sans"/>
              </a:rPr>
              <a:t>Requirement Elaboration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view3D>
      <c:rotX val="50"/>
      <c:rotY val="0"/>
      <c:rAngAx val="0"/>
      <c:perspective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spPr>
            <a:noFill/>
            <a:ln w="0">
              <a:noFill/>
            </a:ln>
          </c:spPr>
          <c:dPt>
            <c:idx val="0"/>
            <c:bubble3D val="0"/>
            <c:spPr>
              <a:solidFill>
                <a:srgbClr val="92D050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DEF-40E0-A3FF-E237FBFF0BF2}"/>
              </c:ext>
            </c:extLst>
          </c:dPt>
          <c:dPt>
            <c:idx val="1"/>
            <c:bubble3D val="0"/>
            <c:spPr>
              <a:solidFill>
                <a:srgbClr val="FFFFCC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DEF-40E0-A3FF-E237FBFF0BF2}"/>
              </c:ext>
            </c:extLst>
          </c:dPt>
          <c:dPt>
            <c:idx val="2"/>
            <c:bubble3D val="0"/>
            <c:spPr>
              <a:solidFill>
                <a:srgbClr val="FFCC66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DEF-40E0-A3FF-E237FBFF0BF2}"/>
              </c:ext>
            </c:extLst>
          </c:dPt>
          <c:dPt>
            <c:idx val="3"/>
            <c:bubble3D val="0"/>
            <c:spPr>
              <a:solidFill>
                <a:srgbClr val="D99694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DEF-40E0-A3FF-E237FBFF0BF2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DEF-40E0-A3FF-E237FBFF0BF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ADEF-40E0-A3FF-E237FBFF0BF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ADEF-40E0-A3FF-E237FBFF0BF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ADEF-40E0-A3FF-E237FBFF0BF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Statistics!$B$10:$B$13</c:f>
              <c:strCache>
                <c:ptCount val="4"/>
                <c:pt idx="0">
                  <c:v>Completed</c:v>
                </c:pt>
                <c:pt idx="1">
                  <c:v>Cancelled</c:v>
                </c:pt>
                <c:pt idx="2">
                  <c:v>In-progress</c:v>
                </c:pt>
                <c:pt idx="3">
                  <c:v>Open</c:v>
                </c:pt>
              </c:strCache>
            </c:strRef>
          </c:cat>
          <c:val>
            <c:numRef>
              <c:f>Statistics!$C$10:$C$13</c:f>
              <c:numCache>
                <c:formatCode>General</c:formatCode>
                <c:ptCount val="4"/>
                <c:pt idx="0">
                  <c:v>17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DEF-40E0-A3FF-E237FBFF0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>
                <a:solidFill>
                  <a:srgbClr val="808080"/>
                </a:solidFill>
                <a:uFillTx/>
                <a:latin typeface="Roboto"/>
                <a:ea typeface="DejaVu Sans"/>
              </a:rPr>
              <a:t>Requirement Conversion Progress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Statistics!$B$2:$B$8</c:f>
              <c:strCache>
                <c:ptCount val="7"/>
                <c:pt idx="0">
                  <c:v>Requirements</c:v>
                </c:pt>
                <c:pt idx="1">
                  <c:v>Designed</c:v>
                </c:pt>
                <c:pt idx="2">
                  <c:v>Test Case Coverage</c:v>
                </c:pt>
                <c:pt idx="3">
                  <c:v>Technical Platform</c:v>
                </c:pt>
                <c:pt idx="4">
                  <c:v>Prototype Coverage</c:v>
                </c:pt>
                <c:pt idx="5">
                  <c:v>Program coverage</c:v>
                </c:pt>
                <c:pt idx="6">
                  <c:v>Test Results</c:v>
                </c:pt>
              </c:strCache>
            </c:strRef>
          </c:cat>
          <c:val>
            <c:numRef>
              <c:f>Statistics!$C$2:$C$8</c:f>
              <c:numCache>
                <c:formatCode>@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 formatCode="General">
                  <c:v>17</c:v>
                </c:pt>
                <c:pt idx="5" formatCode="General">
                  <c:v>19</c:v>
                </c:pt>
                <c:pt idx="6" formatCode="General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90D-87C3-2A74925D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4160944"/>
        <c:axId val="354161336"/>
      </c:barChart>
      <c:catAx>
        <c:axId val="354160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808080"/>
                </a:solidFill>
                <a:uFillTx/>
                <a:latin typeface="Roboto"/>
                <a:ea typeface="DejaVu Sans"/>
              </a:defRPr>
            </a:pPr>
            <a:endParaRPr lang="en-US"/>
          </a:p>
        </c:txPr>
        <c:crossAx val="354161336"/>
        <c:crosses val="autoZero"/>
        <c:auto val="1"/>
        <c:lblAlgn val="ctr"/>
        <c:lblOffset val="100"/>
        <c:noMultiLvlLbl val="0"/>
      </c:catAx>
      <c:valAx>
        <c:axId val="354161336"/>
        <c:scaling>
          <c:orientation val="minMax"/>
        </c:scaling>
        <c:delete val="0"/>
        <c:axPos val="l"/>
        <c:majorGridlines>
          <c:spPr>
            <a:ln w="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100" b="0" u="none" strike="noStrike">
                <a:solidFill>
                  <a:srgbClr val="808080"/>
                </a:solidFill>
                <a:uFillTx/>
                <a:latin typeface="Roboto"/>
                <a:ea typeface="DejaVu Sans"/>
              </a:defRPr>
            </a:pPr>
            <a:endParaRPr lang="en-US"/>
          </a:p>
        </c:txPr>
        <c:crossAx val="3541609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123840</xdr:rowOff>
    </xdr:from>
    <xdr:to>
      <xdr:col>9</xdr:col>
      <xdr:colOff>279720</xdr:colOff>
      <xdr:row>26</xdr:row>
      <xdr:rowOff>199080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360</xdr:colOff>
      <xdr:row>0</xdr:row>
      <xdr:rowOff>152280</xdr:rowOff>
    </xdr:from>
    <xdr:to>
      <xdr:col>19</xdr:col>
      <xdr:colOff>415080</xdr:colOff>
      <xdr:row>26</xdr:row>
      <xdr:rowOff>199080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zoomScaleNormal="100" workbookViewId="0"/>
  </sheetViews>
  <sheetFormatPr defaultColWidth="12.5546875" defaultRowHeight="15" customHeight="1" x14ac:dyDescent="0.25"/>
  <cols>
    <col min="1" max="1" width="2.77734375" customWidth="1"/>
    <col min="2" max="2" width="115.21875" customWidth="1"/>
    <col min="3" max="3" width="1.88671875" customWidth="1"/>
    <col min="4" max="6" width="8" customWidth="1"/>
    <col min="7" max="14" width="7.5546875" customWidth="1"/>
    <col min="15" max="26" width="15.109375" customWidth="1"/>
  </cols>
  <sheetData>
    <row r="1" spans="1:6" ht="3" customHeight="1" x14ac:dyDescent="0.25"/>
    <row r="2" spans="1:6" ht="10.5" customHeight="1" x14ac:dyDescent="0.25">
      <c r="A2" s="1" t="str">
        <f>CONCATENATE(Statistics!J1)</f>
        <v>TIG/CSE/UD/RQMT_MATX_TEMPL v1.6</v>
      </c>
      <c r="B2" s="2" t="str">
        <f>A2</f>
        <v>TIG/CSE/UD/RQMT_MATX_TEMPL v1.6</v>
      </c>
      <c r="C2" s="3"/>
      <c r="D2" s="3"/>
      <c r="E2" s="3"/>
      <c r="F2" s="3"/>
    </row>
    <row r="3" spans="1:6" ht="15.75" customHeight="1" x14ac:dyDescent="0.25">
      <c r="A3" s="55" t="s">
        <v>0</v>
      </c>
      <c r="B3" s="55"/>
      <c r="C3" s="3"/>
      <c r="D3" s="3"/>
      <c r="E3" s="3"/>
      <c r="F3" s="3"/>
    </row>
    <row r="4" spans="1:6" ht="12.75" customHeight="1" x14ac:dyDescent="0.25">
      <c r="A4" s="4" t="s">
        <v>1</v>
      </c>
      <c r="B4" s="5" t="s">
        <v>2</v>
      </c>
      <c r="C4" s="3"/>
      <c r="D4" s="3"/>
      <c r="E4" s="3"/>
      <c r="F4" s="3"/>
    </row>
    <row r="5" spans="1:6" ht="12.75" customHeight="1" x14ac:dyDescent="0.25">
      <c r="A5" s="4" t="s">
        <v>3</v>
      </c>
      <c r="B5" s="5" t="s">
        <v>4</v>
      </c>
      <c r="C5" s="3"/>
      <c r="D5" s="3"/>
      <c r="E5" s="3"/>
      <c r="F5" s="3"/>
    </row>
    <row r="6" spans="1:6" ht="12.75" customHeight="1" x14ac:dyDescent="0.25">
      <c r="A6" s="4" t="s">
        <v>5</v>
      </c>
      <c r="B6" s="5" t="s">
        <v>6</v>
      </c>
      <c r="C6" s="3"/>
      <c r="D6" s="3"/>
      <c r="E6" s="3"/>
      <c r="F6" s="3"/>
    </row>
    <row r="7" spans="1:6" ht="25.5" customHeight="1" x14ac:dyDescent="0.25">
      <c r="A7" s="6"/>
      <c r="B7" s="7" t="s">
        <v>7</v>
      </c>
      <c r="C7" s="3"/>
      <c r="D7" s="3"/>
      <c r="E7" s="3"/>
      <c r="F7" s="3"/>
    </row>
    <row r="8" spans="1:6" ht="25.5" customHeight="1" x14ac:dyDescent="0.25">
      <c r="A8" s="6"/>
      <c r="B8" s="7" t="s">
        <v>8</v>
      </c>
      <c r="C8" s="3"/>
      <c r="D8" s="3"/>
      <c r="E8" s="3"/>
      <c r="F8" s="3"/>
    </row>
    <row r="9" spans="1:6" ht="114.75" customHeight="1" x14ac:dyDescent="0.25">
      <c r="A9" s="6"/>
      <c r="B9" s="7" t="s">
        <v>9</v>
      </c>
      <c r="C9" s="3"/>
      <c r="D9" s="3"/>
      <c r="E9" s="3"/>
      <c r="F9" s="3"/>
    </row>
    <row r="10" spans="1:6" ht="12.75" customHeight="1" x14ac:dyDescent="0.25">
      <c r="A10" s="6"/>
      <c r="B10" s="7" t="s">
        <v>10</v>
      </c>
      <c r="C10" s="3"/>
      <c r="D10" s="3"/>
      <c r="E10" s="3"/>
      <c r="F10" s="3"/>
    </row>
    <row r="11" spans="1:6" ht="25.5" customHeight="1" x14ac:dyDescent="0.25">
      <c r="A11" s="6"/>
      <c r="B11" s="7" t="s">
        <v>11</v>
      </c>
      <c r="C11" s="3"/>
      <c r="D11" s="3"/>
      <c r="E11" s="3"/>
      <c r="F11" s="3"/>
    </row>
    <row r="12" spans="1:6" ht="25.5" customHeight="1" x14ac:dyDescent="0.25">
      <c r="A12" s="6"/>
      <c r="B12" s="7" t="s">
        <v>12</v>
      </c>
      <c r="C12" s="3"/>
      <c r="D12" s="3"/>
      <c r="E12" s="3"/>
      <c r="F12" s="3"/>
    </row>
    <row r="13" spans="1:6" ht="25.5" customHeight="1" x14ac:dyDescent="0.25">
      <c r="A13" s="6"/>
      <c r="B13" s="7" t="s">
        <v>13</v>
      </c>
      <c r="C13" s="3"/>
      <c r="D13" s="3"/>
      <c r="E13" s="3"/>
      <c r="F13" s="3"/>
    </row>
    <row r="14" spans="1:6" ht="25.5" customHeight="1" x14ac:dyDescent="0.25">
      <c r="A14" s="6"/>
      <c r="B14" s="7" t="s">
        <v>14</v>
      </c>
      <c r="C14" s="3"/>
      <c r="D14" s="3"/>
      <c r="E14" s="3"/>
      <c r="F14" s="3"/>
    </row>
    <row r="15" spans="1:6" ht="25.5" customHeight="1" x14ac:dyDescent="0.25">
      <c r="A15" s="6"/>
      <c r="B15" s="7" t="s">
        <v>15</v>
      </c>
      <c r="C15" s="3"/>
      <c r="D15" s="3" t="s">
        <v>16</v>
      </c>
      <c r="E15" s="3"/>
      <c r="F15" s="3"/>
    </row>
    <row r="16" spans="1:6" ht="25.5" customHeight="1" x14ac:dyDescent="0.25">
      <c r="A16" s="6"/>
      <c r="B16" s="7" t="s">
        <v>17</v>
      </c>
      <c r="C16" s="3"/>
      <c r="D16" s="3"/>
      <c r="E16" s="3"/>
      <c r="F16" s="3"/>
    </row>
    <row r="17" spans="1:6" ht="12.75" customHeight="1" x14ac:dyDescent="0.25">
      <c r="A17" s="6"/>
      <c r="B17" s="7" t="s">
        <v>18</v>
      </c>
      <c r="C17" s="3"/>
      <c r="D17" s="3" t="s">
        <v>16</v>
      </c>
      <c r="E17" s="3"/>
      <c r="F17" s="3"/>
    </row>
    <row r="18" spans="1:6" ht="25.5" customHeight="1" x14ac:dyDescent="0.25">
      <c r="A18" s="4" t="s">
        <v>19</v>
      </c>
      <c r="B18" s="5" t="s">
        <v>20</v>
      </c>
      <c r="C18" s="3"/>
      <c r="D18" s="3"/>
      <c r="E18" s="3"/>
      <c r="F18" s="3"/>
    </row>
    <row r="19" spans="1:6" ht="25.5" customHeight="1" x14ac:dyDescent="0.25">
      <c r="A19" s="4" t="s">
        <v>21</v>
      </c>
      <c r="B19" s="5" t="s">
        <v>22</v>
      </c>
      <c r="C19" s="3"/>
      <c r="D19" s="3"/>
      <c r="E19" s="3"/>
      <c r="F19" s="3"/>
    </row>
    <row r="20" spans="1:6" ht="25.5" customHeight="1" x14ac:dyDescent="0.25">
      <c r="A20" s="4" t="s">
        <v>23</v>
      </c>
      <c r="B20" s="5" t="s">
        <v>24</v>
      </c>
      <c r="C20" s="3"/>
      <c r="D20" s="3"/>
      <c r="E20" s="3"/>
      <c r="F20" s="3"/>
    </row>
    <row r="21" spans="1:6" ht="12.75" customHeight="1" x14ac:dyDescent="0.25">
      <c r="A21" s="8"/>
      <c r="B21" s="3"/>
      <c r="C21" s="3"/>
      <c r="D21" s="3"/>
      <c r="E21" s="3"/>
      <c r="F21" s="3"/>
    </row>
    <row r="22" spans="1:6" ht="12.75" customHeight="1" x14ac:dyDescent="0.25">
      <c r="A22" s="8"/>
      <c r="B22" s="3"/>
      <c r="C22" s="3"/>
      <c r="D22" s="3"/>
      <c r="E22" s="3"/>
      <c r="F22" s="3"/>
    </row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:B3"/>
  </mergeCells>
  <conditionalFormatting sqref="A2">
    <cfRule type="cellIs" dxfId="20" priority="2" operator="equal">
      <formula>"In-progress"</formula>
    </cfRule>
    <cfRule type="cellIs" dxfId="19" priority="3" operator="equal">
      <formula>"Open"</formula>
    </cfRule>
    <cfRule type="cellIs" dxfId="18" priority="4" operator="equal">
      <formula>"Completed"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6" sqref="E16"/>
    </sheetView>
  </sheetViews>
  <sheetFormatPr defaultColWidth="12.5546875" defaultRowHeight="15" customHeight="1" x14ac:dyDescent="0.25"/>
  <cols>
    <col min="1" max="1" width="8.109375" customWidth="1"/>
    <col min="2" max="2" width="50.21875" customWidth="1"/>
    <col min="3" max="3" width="9.5546875" customWidth="1"/>
    <col min="4" max="4" width="6.88671875" customWidth="1"/>
    <col min="5" max="5" width="11.5546875" customWidth="1"/>
    <col min="6" max="6" width="10.5546875" customWidth="1"/>
    <col min="7" max="7" width="15.5546875" customWidth="1"/>
    <col min="8" max="8" width="8.109375" customWidth="1"/>
    <col min="9" max="9" width="15.109375" customWidth="1"/>
    <col min="10" max="10" width="16.88671875" customWidth="1"/>
    <col min="11" max="11" width="15.109375" customWidth="1"/>
    <col min="12" max="12" width="22.44140625" customWidth="1"/>
    <col min="13" max="22" width="7.5546875" customWidth="1"/>
    <col min="23" max="27" width="15.109375" customWidth="1"/>
  </cols>
  <sheetData>
    <row r="1" spans="1:13" ht="46.5" customHeight="1" x14ac:dyDescent="0.25">
      <c r="A1" s="9" t="s">
        <v>25</v>
      </c>
      <c r="B1" s="10" t="s">
        <v>26</v>
      </c>
      <c r="C1" s="10" t="s">
        <v>27</v>
      </c>
      <c r="D1" s="11" t="s">
        <v>28</v>
      </c>
      <c r="E1" s="12" t="s">
        <v>29</v>
      </c>
      <c r="F1" s="13" t="s">
        <v>30</v>
      </c>
      <c r="G1" s="11" t="s">
        <v>31</v>
      </c>
      <c r="H1" s="11" t="s">
        <v>32</v>
      </c>
      <c r="I1" s="14" t="s">
        <v>33</v>
      </c>
      <c r="J1" s="15" t="s">
        <v>34</v>
      </c>
      <c r="K1" s="14" t="s">
        <v>35</v>
      </c>
      <c r="L1" s="16" t="s">
        <v>36</v>
      </c>
      <c r="M1" s="17"/>
    </row>
    <row r="2" spans="1:13" ht="11.25" customHeight="1" x14ac:dyDescent="0.25">
      <c r="A2" s="18" t="s">
        <v>37</v>
      </c>
      <c r="B2" s="19" t="s">
        <v>115</v>
      </c>
      <c r="C2" s="20" t="s">
        <v>38</v>
      </c>
      <c r="D2" s="20" t="s">
        <v>39</v>
      </c>
      <c r="E2" s="19" t="s">
        <v>165</v>
      </c>
      <c r="F2" s="21" t="s">
        <v>40</v>
      </c>
      <c r="G2" s="20" t="s">
        <v>41</v>
      </c>
      <c r="H2" s="20" t="s">
        <v>42</v>
      </c>
      <c r="I2" s="22" t="s">
        <v>43</v>
      </c>
      <c r="J2" s="23" t="s">
        <v>44</v>
      </c>
      <c r="K2" s="24" t="s">
        <v>45</v>
      </c>
      <c r="L2" s="24" t="s">
        <v>136</v>
      </c>
      <c r="M2" s="25"/>
    </row>
    <row r="3" spans="1:13" ht="11.25" customHeight="1" x14ac:dyDescent="0.25">
      <c r="A3" s="18" t="s">
        <v>46</v>
      </c>
      <c r="B3" s="26" t="s">
        <v>116</v>
      </c>
      <c r="C3" s="20" t="s">
        <v>38</v>
      </c>
      <c r="D3" s="20" t="s">
        <v>39</v>
      </c>
      <c r="E3" s="19" t="s">
        <v>165</v>
      </c>
      <c r="F3" s="21" t="s">
        <v>47</v>
      </c>
      <c r="G3" s="20" t="s">
        <v>41</v>
      </c>
      <c r="H3" s="20" t="s">
        <v>42</v>
      </c>
      <c r="I3" s="22" t="s">
        <v>48</v>
      </c>
      <c r="J3" s="23" t="s">
        <v>49</v>
      </c>
      <c r="K3" s="24" t="s">
        <v>45</v>
      </c>
      <c r="L3" s="24" t="s">
        <v>137</v>
      </c>
      <c r="M3" s="25"/>
    </row>
    <row r="4" spans="1:13" ht="11.25" customHeight="1" x14ac:dyDescent="0.25">
      <c r="A4" s="18" t="s">
        <v>50</v>
      </c>
      <c r="B4" s="26" t="s">
        <v>117</v>
      </c>
      <c r="C4" s="20" t="s">
        <v>38</v>
      </c>
      <c r="D4" s="20" t="s">
        <v>39</v>
      </c>
      <c r="E4" s="19" t="s">
        <v>166</v>
      </c>
      <c r="F4" s="21" t="s">
        <v>51</v>
      </c>
      <c r="G4" s="20" t="s">
        <v>41</v>
      </c>
      <c r="H4" s="20" t="s">
        <v>42</v>
      </c>
      <c r="I4" s="22" t="s">
        <v>52</v>
      </c>
      <c r="J4" s="27" t="s">
        <v>53</v>
      </c>
      <c r="K4" s="24" t="s">
        <v>45</v>
      </c>
      <c r="L4" s="24" t="s">
        <v>138</v>
      </c>
      <c r="M4" s="25"/>
    </row>
    <row r="5" spans="1:13" ht="11.25" customHeight="1" x14ac:dyDescent="0.25">
      <c r="A5" s="18" t="s">
        <v>54</v>
      </c>
      <c r="B5" s="19" t="s">
        <v>118</v>
      </c>
      <c r="C5" s="20" t="s">
        <v>38</v>
      </c>
      <c r="D5" s="20" t="s">
        <v>55</v>
      </c>
      <c r="E5" s="26" t="s">
        <v>166</v>
      </c>
      <c r="F5" s="21" t="s">
        <v>56</v>
      </c>
      <c r="G5" s="20" t="s">
        <v>57</v>
      </c>
      <c r="H5" s="20" t="s">
        <v>42</v>
      </c>
      <c r="I5" s="22" t="s">
        <v>58</v>
      </c>
      <c r="J5" s="27" t="s">
        <v>59</v>
      </c>
      <c r="K5" s="24" t="s">
        <v>45</v>
      </c>
      <c r="L5" s="24" t="s">
        <v>60</v>
      </c>
      <c r="M5" s="25"/>
    </row>
    <row r="6" spans="1:13" ht="22.5" customHeight="1" x14ac:dyDescent="0.25">
      <c r="A6" s="18" t="s">
        <v>61</v>
      </c>
      <c r="B6" s="26" t="s">
        <v>119</v>
      </c>
      <c r="C6" s="20" t="s">
        <v>38</v>
      </c>
      <c r="D6" s="20" t="s">
        <v>55</v>
      </c>
      <c r="E6" s="26" t="s">
        <v>168</v>
      </c>
      <c r="F6" s="21" t="s">
        <v>62</v>
      </c>
      <c r="G6" s="20" t="s">
        <v>41</v>
      </c>
      <c r="H6" s="20" t="s">
        <v>42</v>
      </c>
      <c r="I6" s="22" t="s">
        <v>130</v>
      </c>
      <c r="J6" s="27" t="s">
        <v>63</v>
      </c>
      <c r="K6" s="24" t="s">
        <v>45</v>
      </c>
      <c r="L6" s="24" t="s">
        <v>64</v>
      </c>
      <c r="M6" s="25"/>
    </row>
    <row r="7" spans="1:13" ht="22.5" customHeight="1" x14ac:dyDescent="0.25">
      <c r="A7" s="18" t="s">
        <v>65</v>
      </c>
      <c r="B7" s="26" t="s">
        <v>66</v>
      </c>
      <c r="C7" s="20" t="s">
        <v>38</v>
      </c>
      <c r="D7" s="20" t="s">
        <v>67</v>
      </c>
      <c r="E7" s="19" t="s">
        <v>167</v>
      </c>
      <c r="F7" s="21" t="s">
        <v>68</v>
      </c>
      <c r="G7" s="20" t="s">
        <v>57</v>
      </c>
      <c r="H7" s="20" t="s">
        <v>42</v>
      </c>
      <c r="I7" s="22" t="s">
        <v>131</v>
      </c>
      <c r="J7" s="27" t="s">
        <v>63</v>
      </c>
      <c r="K7" s="24" t="s">
        <v>69</v>
      </c>
      <c r="L7" s="24" t="s">
        <v>70</v>
      </c>
      <c r="M7" s="25"/>
    </row>
    <row r="8" spans="1:13" ht="11.25" customHeight="1" x14ac:dyDescent="0.25">
      <c r="A8" s="18" t="s">
        <v>71</v>
      </c>
      <c r="B8" s="26" t="s">
        <v>72</v>
      </c>
      <c r="C8" s="20" t="s">
        <v>38</v>
      </c>
      <c r="D8" s="20" t="s">
        <v>67</v>
      </c>
      <c r="E8" s="20" t="s">
        <v>169</v>
      </c>
      <c r="F8" s="20" t="s">
        <v>73</v>
      </c>
      <c r="G8" s="20" t="s">
        <v>57</v>
      </c>
      <c r="H8" s="20" t="s">
        <v>42</v>
      </c>
      <c r="I8" s="20" t="s">
        <v>74</v>
      </c>
      <c r="J8" s="28" t="s">
        <v>75</v>
      </c>
      <c r="K8" s="24" t="s">
        <v>69</v>
      </c>
      <c r="L8" s="20" t="s">
        <v>76</v>
      </c>
      <c r="M8" s="25"/>
    </row>
    <row r="9" spans="1:13" ht="11.25" customHeight="1" x14ac:dyDescent="0.25">
      <c r="A9" s="18" t="s">
        <v>77</v>
      </c>
      <c r="B9" s="26" t="s">
        <v>78</v>
      </c>
      <c r="C9" s="20" t="s">
        <v>38</v>
      </c>
      <c r="D9" s="20" t="s">
        <v>79</v>
      </c>
      <c r="E9" s="20" t="s">
        <v>169</v>
      </c>
      <c r="F9" s="20" t="s">
        <v>80</v>
      </c>
      <c r="G9" s="20" t="s">
        <v>81</v>
      </c>
      <c r="H9" s="20" t="s">
        <v>42</v>
      </c>
      <c r="I9" s="20" t="s">
        <v>82</v>
      </c>
      <c r="J9" s="28" t="s">
        <v>59</v>
      </c>
      <c r="K9" s="24" t="s">
        <v>45</v>
      </c>
      <c r="L9" s="20" t="s">
        <v>83</v>
      </c>
      <c r="M9" s="25"/>
    </row>
    <row r="10" spans="1:13" ht="11.25" customHeight="1" x14ac:dyDescent="0.25">
      <c r="A10" s="18" t="s">
        <v>84</v>
      </c>
      <c r="B10" s="26" t="s">
        <v>120</v>
      </c>
      <c r="C10" s="20" t="s">
        <v>38</v>
      </c>
      <c r="D10" s="20" t="s">
        <v>79</v>
      </c>
      <c r="E10" s="20" t="s">
        <v>169</v>
      </c>
      <c r="F10" s="20" t="s">
        <v>85</v>
      </c>
      <c r="G10" s="20" t="s">
        <v>81</v>
      </c>
      <c r="H10" s="20" t="s">
        <v>42</v>
      </c>
      <c r="I10" s="20" t="s">
        <v>132</v>
      </c>
      <c r="J10" s="28" t="s">
        <v>87</v>
      </c>
      <c r="K10" s="24" t="s">
        <v>45</v>
      </c>
      <c r="L10" s="20" t="s">
        <v>88</v>
      </c>
      <c r="M10" s="25"/>
    </row>
    <row r="11" spans="1:13" ht="22.5" customHeight="1" x14ac:dyDescent="0.25">
      <c r="A11" s="18" t="s">
        <v>89</v>
      </c>
      <c r="B11" s="26" t="s">
        <v>121</v>
      </c>
      <c r="C11" s="20" t="s">
        <v>38</v>
      </c>
      <c r="D11" s="20" t="s">
        <v>79</v>
      </c>
      <c r="E11" s="20" t="s">
        <v>170</v>
      </c>
      <c r="F11" s="20" t="s">
        <v>90</v>
      </c>
      <c r="G11" s="20" t="s">
        <v>91</v>
      </c>
      <c r="H11" s="20" t="s">
        <v>42</v>
      </c>
      <c r="I11" s="20" t="s">
        <v>133</v>
      </c>
      <c r="J11" s="28" t="s">
        <v>59</v>
      </c>
      <c r="K11" s="24" t="s">
        <v>69</v>
      </c>
      <c r="L11" s="20" t="s">
        <v>92</v>
      </c>
      <c r="M11" s="25"/>
    </row>
    <row r="12" spans="1:13" ht="22.5" customHeight="1" x14ac:dyDescent="0.25">
      <c r="A12" s="18" t="s">
        <v>93</v>
      </c>
      <c r="B12" s="26" t="s">
        <v>141</v>
      </c>
      <c r="C12" s="20" t="s">
        <v>38</v>
      </c>
      <c r="D12" s="20" t="s">
        <v>79</v>
      </c>
      <c r="E12" s="20" t="s">
        <v>170</v>
      </c>
      <c r="F12" s="20" t="s">
        <v>95</v>
      </c>
      <c r="G12" s="20" t="s">
        <v>81</v>
      </c>
      <c r="H12" s="20" t="s">
        <v>42</v>
      </c>
      <c r="I12" s="20" t="s">
        <v>142</v>
      </c>
      <c r="J12" s="28" t="s">
        <v>59</v>
      </c>
      <c r="K12" s="24" t="s">
        <v>69</v>
      </c>
      <c r="L12" s="20" t="s">
        <v>143</v>
      </c>
      <c r="M12" s="25"/>
    </row>
    <row r="13" spans="1:13" ht="22.5" customHeight="1" x14ac:dyDescent="0.25">
      <c r="A13" s="18" t="s">
        <v>97</v>
      </c>
      <c r="B13" s="26" t="s">
        <v>122</v>
      </c>
      <c r="C13" s="20" t="s">
        <v>38</v>
      </c>
      <c r="D13" s="20" t="s">
        <v>39</v>
      </c>
      <c r="E13" s="20" t="s">
        <v>171</v>
      </c>
      <c r="F13" s="20" t="s">
        <v>101</v>
      </c>
      <c r="G13" s="20" t="s">
        <v>128</v>
      </c>
      <c r="H13" s="20" t="s">
        <v>42</v>
      </c>
      <c r="I13" s="20" t="s">
        <v>134</v>
      </c>
      <c r="J13" s="28" t="s">
        <v>59</v>
      </c>
      <c r="K13" s="24" t="s">
        <v>69</v>
      </c>
      <c r="L13" s="20" t="s">
        <v>140</v>
      </c>
      <c r="M13" s="25"/>
    </row>
    <row r="14" spans="1:13" ht="22.5" customHeight="1" x14ac:dyDescent="0.25">
      <c r="A14" s="18" t="s">
        <v>99</v>
      </c>
      <c r="B14" s="26" t="s">
        <v>100</v>
      </c>
      <c r="C14" s="20" t="s">
        <v>38</v>
      </c>
      <c r="D14" s="20" t="s">
        <v>79</v>
      </c>
      <c r="E14" s="20" t="s">
        <v>172</v>
      </c>
      <c r="F14" s="20" t="s">
        <v>127</v>
      </c>
      <c r="G14" s="20" t="s">
        <v>81</v>
      </c>
      <c r="H14" s="20" t="s">
        <v>42</v>
      </c>
      <c r="I14" s="20" t="s">
        <v>102</v>
      </c>
      <c r="J14" s="28" t="s">
        <v>59</v>
      </c>
      <c r="K14" s="24" t="s">
        <v>95</v>
      </c>
      <c r="L14" s="20" t="s">
        <v>144</v>
      </c>
      <c r="M14" s="25"/>
    </row>
    <row r="15" spans="1:13" ht="11.25" customHeight="1" x14ac:dyDescent="0.25">
      <c r="A15" s="18" t="s">
        <v>125</v>
      </c>
      <c r="B15" s="26" t="s">
        <v>123</v>
      </c>
      <c r="C15" s="20" t="s">
        <v>38</v>
      </c>
      <c r="D15" s="20" t="s">
        <v>79</v>
      </c>
      <c r="E15" s="20" t="s">
        <v>173</v>
      </c>
      <c r="F15" s="20" t="s">
        <v>127</v>
      </c>
      <c r="G15" s="20" t="s">
        <v>129</v>
      </c>
      <c r="H15" s="20" t="s">
        <v>42</v>
      </c>
      <c r="I15" s="20" t="s">
        <v>86</v>
      </c>
      <c r="J15" s="28" t="s">
        <v>59</v>
      </c>
      <c r="K15" s="24" t="s">
        <v>45</v>
      </c>
      <c r="L15" s="20" t="s">
        <v>88</v>
      </c>
      <c r="M15" s="25"/>
    </row>
    <row r="16" spans="1:13" ht="11.25" customHeight="1" x14ac:dyDescent="0.25">
      <c r="A16" s="18" t="s">
        <v>126</v>
      </c>
      <c r="B16" s="29" t="s">
        <v>124</v>
      </c>
      <c r="C16" s="20" t="s">
        <v>38</v>
      </c>
      <c r="D16" s="20" t="s">
        <v>79</v>
      </c>
      <c r="E16" s="20" t="s">
        <v>173</v>
      </c>
      <c r="F16" s="20" t="s">
        <v>127</v>
      </c>
      <c r="G16" s="20" t="s">
        <v>41</v>
      </c>
      <c r="H16" s="20" t="s">
        <v>42</v>
      </c>
      <c r="I16" s="20" t="s">
        <v>135</v>
      </c>
      <c r="J16" s="28" t="s">
        <v>59</v>
      </c>
      <c r="K16" s="24" t="s">
        <v>69</v>
      </c>
      <c r="L16" s="20" t="s">
        <v>139</v>
      </c>
      <c r="M16" s="25"/>
    </row>
    <row r="17" spans="1:13" ht="22.5" customHeight="1" x14ac:dyDescent="0.25">
      <c r="A17" t="s">
        <v>103</v>
      </c>
      <c r="B17" t="s">
        <v>150</v>
      </c>
      <c r="C17" s="56" t="s">
        <v>38</v>
      </c>
      <c r="D17" s="56" t="s">
        <v>151</v>
      </c>
      <c r="E17" s="56" t="s">
        <v>164</v>
      </c>
      <c r="F17" s="56" t="s">
        <v>103</v>
      </c>
      <c r="G17" s="56" t="s">
        <v>152</v>
      </c>
      <c r="H17" s="56" t="s">
        <v>42</v>
      </c>
      <c r="I17" t="s">
        <v>162</v>
      </c>
      <c r="J17" s="58" t="s">
        <v>59</v>
      </c>
      <c r="K17" t="s">
        <v>45</v>
      </c>
      <c r="L17" s="56" t="s">
        <v>156</v>
      </c>
      <c r="M17" s="25"/>
    </row>
    <row r="18" spans="1:13" ht="11.25" customHeight="1" x14ac:dyDescent="0.25">
      <c r="A18" t="s">
        <v>104</v>
      </c>
      <c r="B18" t="s">
        <v>145</v>
      </c>
      <c r="C18" s="30" t="s">
        <v>38</v>
      </c>
      <c r="D18" t="s">
        <v>151</v>
      </c>
      <c r="E18" s="19" t="s">
        <v>164</v>
      </c>
      <c r="F18" s="32" t="s">
        <v>104</v>
      </c>
      <c r="G18" s="57" t="s">
        <v>153</v>
      </c>
      <c r="H18" s="33" t="s">
        <v>42</v>
      </c>
      <c r="I18" s="34" t="s">
        <v>161</v>
      </c>
      <c r="J18" s="35" t="s">
        <v>59</v>
      </c>
      <c r="K18" s="36" t="s">
        <v>69</v>
      </c>
      <c r="L18" s="37" t="s">
        <v>157</v>
      </c>
      <c r="M18" s="25"/>
    </row>
    <row r="19" spans="1:13" ht="11.25" customHeight="1" x14ac:dyDescent="0.25">
      <c r="A19" t="s">
        <v>148</v>
      </c>
      <c r="B19" t="s">
        <v>146</v>
      </c>
      <c r="C19" s="30" t="s">
        <v>114</v>
      </c>
      <c r="D19" t="s">
        <v>151</v>
      </c>
      <c r="E19" s="19" t="s">
        <v>164</v>
      </c>
      <c r="F19" s="32" t="s">
        <v>148</v>
      </c>
      <c r="G19" s="57" t="s">
        <v>153</v>
      </c>
      <c r="H19" s="33" t="s">
        <v>96</v>
      </c>
      <c r="I19" s="34" t="s">
        <v>160</v>
      </c>
      <c r="J19" s="35" t="s">
        <v>59</v>
      </c>
      <c r="K19" s="36" t="s">
        <v>69</v>
      </c>
      <c r="L19" s="37" t="s">
        <v>158</v>
      </c>
      <c r="M19" s="25"/>
    </row>
    <row r="20" spans="1:13" ht="11.25" customHeight="1" x14ac:dyDescent="0.25">
      <c r="A20" s="38" t="s">
        <v>149</v>
      </c>
      <c r="B20" s="19" t="s">
        <v>147</v>
      </c>
      <c r="C20" s="30" t="s">
        <v>114</v>
      </c>
      <c r="D20" t="s">
        <v>151</v>
      </c>
      <c r="E20" s="19" t="s">
        <v>164</v>
      </c>
      <c r="F20" s="32" t="s">
        <v>155</v>
      </c>
      <c r="G20" s="20" t="s">
        <v>154</v>
      </c>
      <c r="H20" s="33" t="s">
        <v>96</v>
      </c>
      <c r="I20" s="34" t="s">
        <v>163</v>
      </c>
      <c r="J20" s="35" t="s">
        <v>59</v>
      </c>
      <c r="K20" s="36" t="s">
        <v>45</v>
      </c>
      <c r="L20" s="37" t="s">
        <v>159</v>
      </c>
      <c r="M20" s="25"/>
    </row>
    <row r="21" spans="1:13" ht="11.25" customHeight="1" x14ac:dyDescent="0.25">
      <c r="A21" s="38"/>
      <c r="B21" s="19"/>
      <c r="C21" s="30"/>
      <c r="D21" s="31"/>
      <c r="E21" s="19"/>
      <c r="F21" s="32"/>
      <c r="G21" s="20"/>
      <c r="H21" s="33"/>
      <c r="I21" s="34"/>
      <c r="J21" s="35"/>
      <c r="K21" s="36"/>
      <c r="L21" s="37"/>
      <c r="M21" s="25"/>
    </row>
    <row r="22" spans="1:13" ht="11.25" customHeight="1" x14ac:dyDescent="0.25">
      <c r="A22" s="38"/>
      <c r="B22" s="19"/>
      <c r="C22" s="30"/>
      <c r="D22" s="31"/>
      <c r="E22" s="19"/>
      <c r="F22" s="32"/>
      <c r="G22" s="20"/>
      <c r="H22" s="33"/>
      <c r="I22" s="34"/>
      <c r="J22" s="35"/>
      <c r="K22" s="36"/>
      <c r="L22" s="37"/>
      <c r="M22" s="25"/>
    </row>
    <row r="23" spans="1:13" ht="11.25" customHeight="1" x14ac:dyDescent="0.25">
      <c r="A23" s="38"/>
      <c r="B23" s="19"/>
      <c r="C23" s="30"/>
      <c r="D23" s="31"/>
      <c r="E23" s="19"/>
      <c r="F23" s="32"/>
      <c r="G23" s="20"/>
      <c r="H23" s="33"/>
      <c r="I23" s="34"/>
      <c r="J23" s="35"/>
      <c r="K23" s="36"/>
      <c r="L23" s="37"/>
      <c r="M23" s="25"/>
    </row>
    <row r="24" spans="1:13" ht="11.25" customHeight="1" x14ac:dyDescent="0.25">
      <c r="A24" s="38"/>
      <c r="B24" s="19"/>
      <c r="C24" s="30"/>
      <c r="D24" s="31"/>
      <c r="E24" s="19"/>
      <c r="F24" s="32"/>
      <c r="G24" s="20"/>
      <c r="H24" s="33"/>
      <c r="I24" s="34"/>
      <c r="J24" s="35"/>
      <c r="K24" s="36"/>
      <c r="L24" s="37"/>
      <c r="M24" s="25"/>
    </row>
    <row r="25" spans="1:13" ht="11.25" customHeight="1" x14ac:dyDescent="0.25">
      <c r="A25" s="38"/>
      <c r="B25" s="19"/>
      <c r="C25" s="30"/>
      <c r="D25" s="31"/>
      <c r="E25" s="19"/>
      <c r="F25" s="32"/>
      <c r="G25" s="20"/>
      <c r="H25" s="33"/>
      <c r="I25" s="34"/>
      <c r="J25" s="35"/>
      <c r="K25" s="36"/>
      <c r="L25" s="37"/>
      <c r="M25" s="25"/>
    </row>
    <row r="26" spans="1:13" ht="11.25" customHeight="1" x14ac:dyDescent="0.25">
      <c r="A26" s="38"/>
      <c r="B26" s="19"/>
      <c r="C26" s="30"/>
      <c r="D26" s="31"/>
      <c r="E26" s="19"/>
      <c r="F26" s="32"/>
      <c r="G26" s="20"/>
      <c r="H26" s="33"/>
      <c r="I26" s="34"/>
      <c r="J26" s="35"/>
      <c r="K26" s="36"/>
      <c r="L26" s="37"/>
      <c r="M26" s="25"/>
    </row>
    <row r="27" spans="1:13" ht="11.25" customHeight="1" x14ac:dyDescent="0.25">
      <c r="A27" s="38"/>
      <c r="B27" s="19"/>
      <c r="C27" s="30"/>
      <c r="D27" s="31"/>
      <c r="E27" s="19"/>
      <c r="F27" s="32"/>
      <c r="G27" s="20"/>
      <c r="H27" s="33"/>
      <c r="I27" s="34"/>
      <c r="J27" s="35"/>
      <c r="K27" s="36"/>
      <c r="L27" s="37"/>
      <c r="M27" s="25"/>
    </row>
    <row r="28" spans="1:13" ht="11.25" customHeight="1" x14ac:dyDescent="0.25">
      <c r="A28" s="38"/>
      <c r="B28" s="19"/>
      <c r="C28" s="30"/>
      <c r="D28" s="31"/>
      <c r="E28" s="19"/>
      <c r="F28" s="32"/>
      <c r="G28" s="20"/>
      <c r="H28" s="33"/>
      <c r="I28" s="34"/>
      <c r="J28" s="35"/>
      <c r="K28" s="36"/>
      <c r="L28" s="37"/>
      <c r="M28" s="25"/>
    </row>
    <row r="29" spans="1:13" ht="11.25" customHeight="1" x14ac:dyDescent="0.25">
      <c r="A29" s="38"/>
      <c r="B29" s="19"/>
      <c r="C29" s="30"/>
      <c r="D29" s="31"/>
      <c r="E29" s="19"/>
      <c r="F29" s="32"/>
      <c r="G29" s="20"/>
      <c r="H29" s="33"/>
      <c r="I29" s="34"/>
      <c r="J29" s="35"/>
      <c r="K29" s="36"/>
      <c r="L29" s="37"/>
      <c r="M29" s="25"/>
    </row>
    <row r="30" spans="1:13" ht="11.25" customHeight="1" x14ac:dyDescent="0.25">
      <c r="A30" s="38"/>
      <c r="B30" s="19"/>
      <c r="C30" s="30"/>
      <c r="D30" s="31"/>
      <c r="E30" s="19"/>
      <c r="F30" s="32"/>
      <c r="G30" s="20"/>
      <c r="H30" s="33"/>
      <c r="I30" s="34"/>
      <c r="J30" s="35"/>
      <c r="K30" s="36"/>
      <c r="L30" s="37"/>
      <c r="M30" s="25"/>
    </row>
    <row r="31" spans="1:13" ht="11.25" customHeight="1" x14ac:dyDescent="0.25">
      <c r="A31" s="38"/>
      <c r="B31" s="19"/>
      <c r="C31" s="30"/>
      <c r="D31" s="31"/>
      <c r="E31" s="19"/>
      <c r="F31" s="32"/>
      <c r="G31" s="20"/>
      <c r="H31" s="33"/>
      <c r="I31" s="34"/>
      <c r="J31" s="35"/>
      <c r="K31" s="36"/>
      <c r="L31" s="37"/>
      <c r="M31" s="25"/>
    </row>
    <row r="32" spans="1:13" ht="11.25" customHeight="1" x14ac:dyDescent="0.25">
      <c r="A32" s="38"/>
      <c r="B32" s="19"/>
      <c r="C32" s="30"/>
      <c r="D32" s="31"/>
      <c r="E32" s="19"/>
      <c r="F32" s="32"/>
      <c r="G32" s="20"/>
      <c r="H32" s="33"/>
      <c r="I32" s="34"/>
      <c r="J32" s="35"/>
      <c r="K32" s="36"/>
      <c r="L32" s="37"/>
      <c r="M32" s="25"/>
    </row>
    <row r="33" spans="1:13" ht="11.25" customHeight="1" x14ac:dyDescent="0.25">
      <c r="A33" s="38"/>
      <c r="B33" s="19"/>
      <c r="C33" s="30"/>
      <c r="D33" s="31"/>
      <c r="E33" s="19"/>
      <c r="F33" s="32"/>
      <c r="G33" s="20"/>
      <c r="H33" s="33"/>
      <c r="I33" s="34"/>
      <c r="J33" s="35"/>
      <c r="K33" s="36"/>
      <c r="L33" s="37"/>
      <c r="M33" s="25"/>
    </row>
    <row r="34" spans="1:13" ht="11.25" customHeight="1" x14ac:dyDescent="0.25">
      <c r="A34" s="38"/>
      <c r="B34" s="19"/>
      <c r="C34" s="30"/>
      <c r="D34" s="31"/>
      <c r="E34" s="19"/>
      <c r="F34" s="32"/>
      <c r="G34" s="20"/>
      <c r="H34" s="33"/>
      <c r="I34" s="34"/>
      <c r="J34" s="35"/>
      <c r="K34" s="36"/>
      <c r="L34" s="37"/>
      <c r="M34" s="25"/>
    </row>
    <row r="35" spans="1:13" ht="11.25" customHeight="1" x14ac:dyDescent="0.25">
      <c r="A35" s="38"/>
      <c r="B35" s="19"/>
      <c r="C35" s="30"/>
      <c r="D35" s="31"/>
      <c r="E35" s="19"/>
      <c r="F35" s="32"/>
      <c r="G35" s="20"/>
      <c r="H35" s="33"/>
      <c r="I35" s="34"/>
      <c r="J35" s="35"/>
      <c r="K35" s="36"/>
      <c r="L35" s="37"/>
      <c r="M35" s="25"/>
    </row>
    <row r="36" spans="1:13" ht="11.25" customHeight="1" x14ac:dyDescent="0.25">
      <c r="A36" s="38"/>
      <c r="B36" s="19"/>
      <c r="C36" s="30"/>
      <c r="D36" s="31"/>
      <c r="E36" s="19"/>
      <c r="F36" s="32"/>
      <c r="G36" s="20"/>
      <c r="H36" s="33"/>
      <c r="I36" s="34"/>
      <c r="J36" s="35"/>
      <c r="K36" s="36"/>
      <c r="L36" s="37"/>
      <c r="M36" s="25"/>
    </row>
    <row r="37" spans="1:13" ht="11.25" customHeight="1" x14ac:dyDescent="0.25">
      <c r="A37" s="38"/>
      <c r="B37" s="19"/>
      <c r="C37" s="30"/>
      <c r="D37" s="31"/>
      <c r="E37" s="19"/>
      <c r="F37" s="32"/>
      <c r="G37" s="20"/>
      <c r="H37" s="33"/>
      <c r="I37" s="34"/>
      <c r="J37" s="35"/>
      <c r="K37" s="36"/>
      <c r="L37" s="37"/>
      <c r="M37" s="25"/>
    </row>
    <row r="38" spans="1:13" ht="11.25" customHeight="1" x14ac:dyDescent="0.25">
      <c r="A38" s="38"/>
      <c r="B38" s="19"/>
      <c r="C38" s="30"/>
      <c r="D38" s="31"/>
      <c r="E38" s="19"/>
      <c r="F38" s="32"/>
      <c r="G38" s="20"/>
      <c r="H38" s="33"/>
      <c r="I38" s="34"/>
      <c r="J38" s="35"/>
      <c r="K38" s="36"/>
      <c r="L38" s="37"/>
      <c r="M38" s="25"/>
    </row>
    <row r="39" spans="1:13" ht="11.25" customHeight="1" x14ac:dyDescent="0.25">
      <c r="A39" s="38"/>
      <c r="B39" s="19"/>
      <c r="C39" s="30"/>
      <c r="D39" s="31"/>
      <c r="E39" s="19"/>
      <c r="F39" s="32"/>
      <c r="G39" s="20"/>
      <c r="H39" s="33"/>
      <c r="I39" s="34"/>
      <c r="J39" s="35"/>
      <c r="K39" s="36"/>
      <c r="L39" s="37"/>
      <c r="M39" s="25"/>
    </row>
    <row r="40" spans="1:13" ht="11.25" customHeight="1" x14ac:dyDescent="0.25">
      <c r="A40" s="38"/>
      <c r="B40" s="19"/>
      <c r="C40" s="30"/>
      <c r="D40" s="31"/>
      <c r="E40" s="19"/>
      <c r="F40" s="32"/>
      <c r="G40" s="20"/>
      <c r="H40" s="33"/>
      <c r="I40" s="34"/>
      <c r="J40" s="35"/>
      <c r="K40" s="36"/>
      <c r="L40" s="37"/>
      <c r="M40" s="25"/>
    </row>
    <row r="41" spans="1:13" ht="11.25" customHeight="1" x14ac:dyDescent="0.25">
      <c r="A41" s="38"/>
      <c r="B41" s="19"/>
      <c r="C41" s="30"/>
      <c r="D41" s="31"/>
      <c r="E41" s="19"/>
      <c r="F41" s="32"/>
      <c r="G41" s="20"/>
      <c r="H41" s="33"/>
      <c r="I41" s="34"/>
      <c r="J41" s="35"/>
      <c r="K41" s="36"/>
      <c r="L41" s="37"/>
      <c r="M41" s="25"/>
    </row>
    <row r="42" spans="1:13" ht="11.25" customHeight="1" x14ac:dyDescent="0.25">
      <c r="A42" s="38"/>
      <c r="B42" s="19"/>
      <c r="C42" s="30"/>
      <c r="D42" s="31"/>
      <c r="E42" s="19"/>
      <c r="F42" s="32"/>
      <c r="G42" s="20"/>
      <c r="H42" s="33"/>
      <c r="I42" s="34"/>
      <c r="J42" s="35"/>
      <c r="K42" s="36"/>
      <c r="L42" s="37"/>
      <c r="M42" s="25"/>
    </row>
    <row r="43" spans="1:13" ht="11.25" customHeight="1" x14ac:dyDescent="0.25">
      <c r="A43" s="38"/>
      <c r="B43" s="19"/>
      <c r="C43" s="30"/>
      <c r="D43" s="31"/>
      <c r="E43" s="19"/>
      <c r="F43" s="32"/>
      <c r="G43" s="20"/>
      <c r="H43" s="33"/>
      <c r="I43" s="34"/>
      <c r="J43" s="35"/>
      <c r="K43" s="36"/>
      <c r="L43" s="37"/>
      <c r="M43" s="25"/>
    </row>
    <row r="44" spans="1:13" ht="11.25" customHeight="1" x14ac:dyDescent="0.25">
      <c r="A44" s="38"/>
      <c r="B44" s="19"/>
      <c r="C44" s="30"/>
      <c r="D44" s="31"/>
      <c r="E44" s="19"/>
      <c r="F44" s="32"/>
      <c r="G44" s="20"/>
      <c r="H44" s="33"/>
      <c r="I44" s="34"/>
      <c r="J44" s="35"/>
      <c r="K44" s="36"/>
      <c r="L44" s="37"/>
      <c r="M44" s="25"/>
    </row>
    <row r="45" spans="1:13" ht="11.25" customHeight="1" x14ac:dyDescent="0.25">
      <c r="A45" s="38"/>
      <c r="B45" s="19"/>
      <c r="C45" s="30"/>
      <c r="D45" s="31"/>
      <c r="E45" s="19"/>
      <c r="F45" s="32"/>
      <c r="G45" s="20"/>
      <c r="H45" s="33"/>
      <c r="I45" s="34"/>
      <c r="J45" s="35"/>
      <c r="K45" s="36"/>
      <c r="L45" s="37"/>
      <c r="M45" s="25"/>
    </row>
    <row r="46" spans="1:13" ht="11.25" customHeight="1" x14ac:dyDescent="0.25">
      <c r="A46" s="38"/>
      <c r="B46" s="19"/>
      <c r="C46" s="30"/>
      <c r="D46" s="31"/>
      <c r="E46" s="19"/>
      <c r="F46" s="32"/>
      <c r="G46" s="20"/>
      <c r="H46" s="33"/>
      <c r="I46" s="34"/>
      <c r="J46" s="35"/>
      <c r="K46" s="36"/>
      <c r="L46" s="37"/>
      <c r="M46" s="25"/>
    </row>
    <row r="47" spans="1:13" ht="11.25" customHeight="1" x14ac:dyDescent="0.25">
      <c r="A47" s="38"/>
      <c r="B47" s="19"/>
      <c r="C47" s="30"/>
      <c r="D47" s="31"/>
      <c r="E47" s="19"/>
      <c r="F47" s="32"/>
      <c r="G47" s="20"/>
      <c r="H47" s="33"/>
      <c r="I47" s="34"/>
      <c r="J47" s="35"/>
      <c r="K47" s="36"/>
      <c r="L47" s="37"/>
      <c r="M47" s="25"/>
    </row>
    <row r="48" spans="1:13" ht="11.25" customHeight="1" x14ac:dyDescent="0.25">
      <c r="A48" s="38"/>
      <c r="B48" s="19"/>
      <c r="C48" s="30"/>
      <c r="D48" s="31"/>
      <c r="E48" s="19"/>
      <c r="F48" s="32"/>
      <c r="G48" s="20"/>
      <c r="H48" s="33"/>
      <c r="I48" s="34"/>
      <c r="J48" s="35"/>
      <c r="K48" s="36"/>
      <c r="L48" s="37"/>
      <c r="M48" s="25"/>
    </row>
    <row r="49" spans="1:13" ht="11.25" customHeight="1" x14ac:dyDescent="0.25">
      <c r="A49" s="38"/>
      <c r="B49" s="19"/>
      <c r="C49" s="30"/>
      <c r="D49" s="31"/>
      <c r="E49" s="19"/>
      <c r="F49" s="32"/>
      <c r="G49" s="20"/>
      <c r="H49" s="33"/>
      <c r="I49" s="34"/>
      <c r="J49" s="35"/>
      <c r="K49" s="36"/>
      <c r="L49" s="37"/>
      <c r="M49" s="25"/>
    </row>
    <row r="50" spans="1:13" ht="11.25" customHeight="1" x14ac:dyDescent="0.25">
      <c r="A50" s="38"/>
      <c r="B50" s="19"/>
      <c r="C50" s="30"/>
      <c r="D50" s="31"/>
      <c r="E50" s="19"/>
      <c r="F50" s="32"/>
      <c r="G50" s="20"/>
      <c r="H50" s="33"/>
      <c r="I50" s="34"/>
      <c r="J50" s="35"/>
      <c r="K50" s="36"/>
      <c r="L50" s="37"/>
      <c r="M50" s="25"/>
    </row>
    <row r="51" spans="1:13" ht="11.25" customHeight="1" x14ac:dyDescent="0.25">
      <c r="A51" s="38"/>
      <c r="B51" s="19"/>
      <c r="C51" s="30"/>
      <c r="D51" s="31"/>
      <c r="E51" s="19"/>
      <c r="F51" s="32"/>
      <c r="G51" s="20"/>
      <c r="H51" s="33"/>
      <c r="I51" s="34"/>
      <c r="J51" s="35"/>
      <c r="K51" s="36"/>
      <c r="L51" s="37"/>
      <c r="M51" s="25"/>
    </row>
    <row r="52" spans="1:13" ht="11.25" customHeight="1" x14ac:dyDescent="0.25">
      <c r="A52" s="38"/>
      <c r="B52" s="19"/>
      <c r="C52" s="30"/>
      <c r="D52" s="31"/>
      <c r="E52" s="19"/>
      <c r="F52" s="32"/>
      <c r="G52" s="20"/>
      <c r="H52" s="33"/>
      <c r="I52" s="34"/>
      <c r="J52" s="35"/>
      <c r="K52" s="36"/>
      <c r="L52" s="37"/>
      <c r="M52" s="25"/>
    </row>
    <row r="53" spans="1:13" ht="11.25" customHeight="1" x14ac:dyDescent="0.25">
      <c r="A53" s="38"/>
      <c r="B53" s="19"/>
      <c r="C53" s="30"/>
      <c r="D53" s="31"/>
      <c r="E53" s="19"/>
      <c r="F53" s="32"/>
      <c r="G53" s="20"/>
      <c r="H53" s="33"/>
      <c r="I53" s="34"/>
      <c r="J53" s="35"/>
      <c r="K53" s="36"/>
      <c r="L53" s="37"/>
      <c r="M53" s="25"/>
    </row>
    <row r="54" spans="1:13" ht="11.25" customHeight="1" x14ac:dyDescent="0.25">
      <c r="A54" s="38"/>
      <c r="B54" s="19"/>
      <c r="C54" s="30"/>
      <c r="D54" s="31"/>
      <c r="E54" s="19"/>
      <c r="F54" s="32"/>
      <c r="G54" s="20"/>
      <c r="H54" s="33"/>
      <c r="I54" s="34"/>
      <c r="J54" s="35"/>
      <c r="K54" s="36"/>
      <c r="L54" s="37"/>
      <c r="M54" s="25"/>
    </row>
    <row r="55" spans="1:13" ht="11.25" customHeight="1" x14ac:dyDescent="0.25">
      <c r="A55" s="38"/>
      <c r="B55" s="19"/>
      <c r="C55" s="30"/>
      <c r="D55" s="31"/>
      <c r="E55" s="19"/>
      <c r="F55" s="32"/>
      <c r="G55" s="20"/>
      <c r="H55" s="33"/>
      <c r="I55" s="34"/>
      <c r="J55" s="35"/>
      <c r="K55" s="36"/>
      <c r="L55" s="37"/>
      <c r="M55" s="25"/>
    </row>
    <row r="56" spans="1:13" ht="11.25" customHeight="1" x14ac:dyDescent="0.25">
      <c r="A56" s="38"/>
      <c r="B56" s="19"/>
      <c r="C56" s="30"/>
      <c r="D56" s="31"/>
      <c r="E56" s="19"/>
      <c r="F56" s="32"/>
      <c r="G56" s="20"/>
      <c r="H56" s="33"/>
      <c r="I56" s="34"/>
      <c r="J56" s="35"/>
      <c r="K56" s="36"/>
      <c r="L56" s="37"/>
      <c r="M56" s="25"/>
    </row>
    <row r="57" spans="1:13" ht="11.25" customHeight="1" x14ac:dyDescent="0.25">
      <c r="A57" s="38"/>
      <c r="B57" s="19"/>
      <c r="C57" s="30"/>
      <c r="D57" s="31"/>
      <c r="E57" s="19"/>
      <c r="F57" s="32"/>
      <c r="G57" s="20"/>
      <c r="H57" s="33"/>
      <c r="I57" s="34"/>
      <c r="J57" s="35"/>
      <c r="K57" s="36"/>
      <c r="L57" s="37"/>
      <c r="M57" s="25"/>
    </row>
    <row r="58" spans="1:13" ht="11.25" customHeight="1" x14ac:dyDescent="0.25">
      <c r="A58" s="38"/>
      <c r="B58" s="19"/>
      <c r="C58" s="30"/>
      <c r="D58" s="31"/>
      <c r="E58" s="19"/>
      <c r="F58" s="32"/>
      <c r="G58" s="20"/>
      <c r="H58" s="33"/>
      <c r="I58" s="34"/>
      <c r="J58" s="35"/>
      <c r="K58" s="36"/>
      <c r="L58" s="37"/>
      <c r="M58" s="25"/>
    </row>
    <row r="59" spans="1:13" ht="11.25" customHeight="1" x14ac:dyDescent="0.25">
      <c r="A59" s="38"/>
      <c r="B59" s="19"/>
      <c r="C59" s="30"/>
      <c r="D59" s="31"/>
      <c r="E59" s="19"/>
      <c r="F59" s="32"/>
      <c r="G59" s="20"/>
      <c r="H59" s="33"/>
      <c r="I59" s="34"/>
      <c r="J59" s="35"/>
      <c r="K59" s="36"/>
      <c r="L59" s="37"/>
      <c r="M59" s="25"/>
    </row>
    <row r="60" spans="1:13" ht="11.25" customHeight="1" x14ac:dyDescent="0.25">
      <c r="A60" s="38"/>
      <c r="B60" s="19"/>
      <c r="C60" s="30"/>
      <c r="D60" s="31"/>
      <c r="E60" s="19"/>
      <c r="F60" s="32"/>
      <c r="G60" s="20"/>
      <c r="H60" s="33"/>
      <c r="I60" s="34"/>
      <c r="J60" s="35"/>
      <c r="K60" s="36"/>
      <c r="L60" s="37"/>
      <c r="M60" s="25"/>
    </row>
    <row r="61" spans="1:13" ht="11.25" customHeight="1" x14ac:dyDescent="0.25">
      <c r="A61" s="38"/>
      <c r="B61" s="19"/>
      <c r="C61" s="30"/>
      <c r="D61" s="31"/>
      <c r="E61" s="19"/>
      <c r="F61" s="32"/>
      <c r="G61" s="20"/>
      <c r="H61" s="33"/>
      <c r="I61" s="34"/>
      <c r="J61" s="35"/>
      <c r="K61" s="36"/>
      <c r="L61" s="37"/>
      <c r="M61" s="25"/>
    </row>
    <row r="62" spans="1:13" ht="11.25" customHeight="1" x14ac:dyDescent="0.25">
      <c r="A62" s="38"/>
      <c r="B62" s="19"/>
      <c r="C62" s="30"/>
      <c r="D62" s="31"/>
      <c r="E62" s="19"/>
      <c r="F62" s="32"/>
      <c r="G62" s="20"/>
      <c r="H62" s="33"/>
      <c r="I62" s="34"/>
      <c r="J62" s="35"/>
      <c r="K62" s="36"/>
      <c r="L62" s="37"/>
      <c r="M62" s="25"/>
    </row>
    <row r="63" spans="1:13" ht="11.25" customHeight="1" x14ac:dyDescent="0.25">
      <c r="A63" s="38"/>
      <c r="B63" s="19"/>
      <c r="C63" s="30"/>
      <c r="D63" s="31"/>
      <c r="E63" s="19"/>
      <c r="F63" s="32"/>
      <c r="G63" s="20"/>
      <c r="H63" s="33"/>
      <c r="I63" s="34"/>
      <c r="J63" s="35"/>
      <c r="K63" s="36"/>
      <c r="L63" s="37"/>
      <c r="M63" s="25"/>
    </row>
    <row r="64" spans="1:13" ht="11.25" customHeight="1" x14ac:dyDescent="0.25">
      <c r="A64" s="38"/>
      <c r="B64" s="19"/>
      <c r="C64" s="30"/>
      <c r="D64" s="31"/>
      <c r="E64" s="19"/>
      <c r="F64" s="32"/>
      <c r="G64" s="20"/>
      <c r="H64" s="33"/>
      <c r="I64" s="34"/>
      <c r="J64" s="35"/>
      <c r="K64" s="36"/>
      <c r="L64" s="37"/>
      <c r="M64" s="25"/>
    </row>
    <row r="65" spans="1:13" ht="11.25" customHeight="1" x14ac:dyDescent="0.25">
      <c r="A65" s="38"/>
      <c r="B65" s="19"/>
      <c r="C65" s="30"/>
      <c r="D65" s="31"/>
      <c r="E65" s="19"/>
      <c r="F65" s="32"/>
      <c r="G65" s="20"/>
      <c r="H65" s="33"/>
      <c r="I65" s="34"/>
      <c r="J65" s="35"/>
      <c r="K65" s="36"/>
      <c r="L65" s="37"/>
      <c r="M65" s="25"/>
    </row>
    <row r="66" spans="1:13" ht="11.25" customHeight="1" x14ac:dyDescent="0.25">
      <c r="A66" s="38"/>
      <c r="B66" s="19"/>
      <c r="C66" s="30"/>
      <c r="D66" s="31"/>
      <c r="E66" s="19"/>
      <c r="F66" s="32"/>
      <c r="G66" s="20"/>
      <c r="H66" s="33"/>
      <c r="I66" s="34"/>
      <c r="J66" s="35"/>
      <c r="K66" s="36"/>
      <c r="L66" s="37"/>
      <c r="M66" s="25"/>
    </row>
    <row r="67" spans="1:13" ht="11.25" customHeight="1" x14ac:dyDescent="0.25">
      <c r="A67" s="38"/>
      <c r="B67" s="19"/>
      <c r="C67" s="30"/>
      <c r="D67" s="31"/>
      <c r="E67" s="19"/>
      <c r="F67" s="32"/>
      <c r="G67" s="20"/>
      <c r="H67" s="33"/>
      <c r="I67" s="34"/>
      <c r="J67" s="35"/>
      <c r="K67" s="36"/>
      <c r="L67" s="37"/>
      <c r="M67" s="25"/>
    </row>
    <row r="68" spans="1:13" ht="11.25" customHeight="1" x14ac:dyDescent="0.25">
      <c r="A68" s="38"/>
      <c r="B68" s="19"/>
      <c r="C68" s="30"/>
      <c r="D68" s="31"/>
      <c r="E68" s="19"/>
      <c r="F68" s="32"/>
      <c r="G68" s="20"/>
      <c r="H68" s="33"/>
      <c r="I68" s="34"/>
      <c r="J68" s="35"/>
      <c r="K68" s="36"/>
      <c r="L68" s="37"/>
      <c r="M68" s="25"/>
    </row>
    <row r="69" spans="1:13" ht="11.25" customHeight="1" x14ac:dyDescent="0.25">
      <c r="A69" s="38"/>
      <c r="B69" s="19"/>
      <c r="C69" s="30"/>
      <c r="D69" s="31"/>
      <c r="E69" s="19"/>
      <c r="F69" s="32"/>
      <c r="G69" s="20"/>
      <c r="H69" s="33"/>
      <c r="I69" s="34"/>
      <c r="J69" s="35"/>
      <c r="K69" s="36"/>
      <c r="L69" s="37"/>
      <c r="M69" s="25"/>
    </row>
    <row r="70" spans="1:13" ht="11.25" customHeight="1" x14ac:dyDescent="0.25">
      <c r="A70" s="38"/>
      <c r="B70" s="19"/>
      <c r="C70" s="30"/>
      <c r="D70" s="31"/>
      <c r="E70" s="19"/>
      <c r="F70" s="32"/>
      <c r="G70" s="20"/>
      <c r="H70" s="33"/>
      <c r="I70" s="34"/>
      <c r="J70" s="35"/>
      <c r="K70" s="36"/>
      <c r="L70" s="37"/>
      <c r="M70" s="25"/>
    </row>
    <row r="71" spans="1:13" ht="11.25" customHeight="1" x14ac:dyDescent="0.25">
      <c r="A71" s="38"/>
      <c r="B71" s="19"/>
      <c r="C71" s="30"/>
      <c r="D71" s="31"/>
      <c r="E71" s="19"/>
      <c r="F71" s="32"/>
      <c r="G71" s="20"/>
      <c r="H71" s="33"/>
      <c r="I71" s="34"/>
      <c r="J71" s="35"/>
      <c r="K71" s="36"/>
      <c r="L71" s="37"/>
      <c r="M71" s="25"/>
    </row>
    <row r="72" spans="1:13" ht="11.25" customHeight="1" x14ac:dyDescent="0.25">
      <c r="A72" s="38"/>
      <c r="B72" s="19"/>
      <c r="C72" s="30"/>
      <c r="D72" s="31"/>
      <c r="E72" s="19"/>
      <c r="F72" s="32"/>
      <c r="G72" s="20"/>
      <c r="H72" s="33"/>
      <c r="I72" s="34"/>
      <c r="J72" s="35"/>
      <c r="K72" s="36"/>
      <c r="L72" s="37"/>
      <c r="M72" s="25"/>
    </row>
    <row r="73" spans="1:13" ht="11.25" customHeight="1" x14ac:dyDescent="0.25">
      <c r="A73" s="38"/>
      <c r="B73" s="19"/>
      <c r="C73" s="30"/>
      <c r="D73" s="31"/>
      <c r="E73" s="19"/>
      <c r="F73" s="32"/>
      <c r="G73" s="20"/>
      <c r="H73" s="33"/>
      <c r="I73" s="34"/>
      <c r="J73" s="35"/>
      <c r="K73" s="36"/>
      <c r="L73" s="37"/>
      <c r="M73" s="25"/>
    </row>
    <row r="74" spans="1:13" ht="11.25" customHeight="1" x14ac:dyDescent="0.25">
      <c r="A74" s="38"/>
      <c r="B74" s="19"/>
      <c r="C74" s="30"/>
      <c r="D74" s="31"/>
      <c r="E74" s="19"/>
      <c r="F74" s="32"/>
      <c r="G74" s="20"/>
      <c r="H74" s="33"/>
      <c r="I74" s="34"/>
      <c r="J74" s="35"/>
      <c r="K74" s="36"/>
      <c r="L74" s="37"/>
      <c r="M74" s="25"/>
    </row>
    <row r="75" spans="1:13" ht="11.25" customHeight="1" x14ac:dyDescent="0.25">
      <c r="A75" s="38"/>
      <c r="B75" s="19"/>
      <c r="C75" s="30"/>
      <c r="D75" s="31"/>
      <c r="E75" s="19"/>
      <c r="F75" s="32"/>
      <c r="G75" s="20"/>
      <c r="H75" s="33"/>
      <c r="I75" s="34"/>
      <c r="J75" s="35"/>
      <c r="K75" s="36"/>
      <c r="L75" s="37"/>
      <c r="M75" s="25"/>
    </row>
    <row r="76" spans="1:13" ht="11.25" customHeight="1" x14ac:dyDescent="0.25">
      <c r="A76" s="38"/>
      <c r="B76" s="19"/>
      <c r="C76" s="30"/>
      <c r="D76" s="31"/>
      <c r="E76" s="19"/>
      <c r="F76" s="32"/>
      <c r="G76" s="20"/>
      <c r="H76" s="33"/>
      <c r="I76" s="34"/>
      <c r="J76" s="35"/>
      <c r="K76" s="36"/>
      <c r="L76" s="37"/>
      <c r="M76" s="25"/>
    </row>
    <row r="77" spans="1:13" ht="11.25" customHeight="1" x14ac:dyDescent="0.25">
      <c r="A77" s="38"/>
      <c r="B77" s="19"/>
      <c r="C77" s="30"/>
      <c r="D77" s="31"/>
      <c r="E77" s="19"/>
      <c r="F77" s="32"/>
      <c r="G77" s="20"/>
      <c r="H77" s="33"/>
      <c r="I77" s="34"/>
      <c r="J77" s="35"/>
      <c r="K77" s="36"/>
      <c r="L77" s="37"/>
      <c r="M77" s="25"/>
    </row>
    <row r="78" spans="1:13" ht="11.25" customHeight="1" x14ac:dyDescent="0.25">
      <c r="A78" s="38"/>
      <c r="B78" s="19"/>
      <c r="C78" s="30"/>
      <c r="D78" s="31"/>
      <c r="E78" s="19"/>
      <c r="F78" s="32"/>
      <c r="G78" s="20"/>
      <c r="H78" s="33"/>
      <c r="I78" s="34"/>
      <c r="J78" s="35"/>
      <c r="K78" s="36"/>
      <c r="L78" s="37"/>
      <c r="M78" s="25"/>
    </row>
    <row r="79" spans="1:13" ht="11.25" customHeight="1" x14ac:dyDescent="0.25">
      <c r="A79" s="38"/>
      <c r="B79" s="19"/>
      <c r="C79" s="30"/>
      <c r="D79" s="31"/>
      <c r="E79" s="19"/>
      <c r="F79" s="32"/>
      <c r="G79" s="20"/>
      <c r="H79" s="33"/>
      <c r="I79" s="34"/>
      <c r="J79" s="35"/>
      <c r="K79" s="36"/>
      <c r="L79" s="37"/>
      <c r="M79" s="25"/>
    </row>
    <row r="80" spans="1:13" ht="11.25" customHeight="1" x14ac:dyDescent="0.25">
      <c r="A80" s="38"/>
      <c r="B80" s="19"/>
      <c r="C80" s="30"/>
      <c r="D80" s="31"/>
      <c r="E80" s="19"/>
      <c r="F80" s="32"/>
      <c r="G80" s="20"/>
      <c r="H80" s="33"/>
      <c r="I80" s="34"/>
      <c r="J80" s="35"/>
      <c r="K80" s="36"/>
      <c r="L80" s="37"/>
      <c r="M80" s="25"/>
    </row>
    <row r="81" spans="1:13" ht="11.25" customHeight="1" x14ac:dyDescent="0.25">
      <c r="A81" s="38"/>
      <c r="B81" s="19"/>
      <c r="C81" s="30"/>
      <c r="D81" s="31"/>
      <c r="E81" s="19"/>
      <c r="F81" s="32"/>
      <c r="G81" s="20"/>
      <c r="H81" s="33"/>
      <c r="I81" s="34"/>
      <c r="J81" s="35"/>
      <c r="K81" s="36"/>
      <c r="L81" s="37"/>
      <c r="M81" s="25"/>
    </row>
    <row r="82" spans="1:13" ht="11.25" customHeight="1" x14ac:dyDescent="0.25">
      <c r="A82" s="38"/>
      <c r="B82" s="19"/>
      <c r="C82" s="30"/>
      <c r="D82" s="31"/>
      <c r="E82" s="19"/>
      <c r="F82" s="32"/>
      <c r="G82" s="20"/>
      <c r="H82" s="33"/>
      <c r="I82" s="34"/>
      <c r="J82" s="35"/>
      <c r="K82" s="36"/>
      <c r="L82" s="37"/>
      <c r="M82" s="25"/>
    </row>
    <row r="83" spans="1:13" ht="11.25" customHeight="1" x14ac:dyDescent="0.25">
      <c r="A83" s="38"/>
      <c r="B83" s="19"/>
      <c r="C83" s="30"/>
      <c r="D83" s="31"/>
      <c r="E83" s="19"/>
      <c r="F83" s="32"/>
      <c r="G83" s="20"/>
      <c r="H83" s="33"/>
      <c r="I83" s="34"/>
      <c r="J83" s="35"/>
      <c r="K83" s="36"/>
      <c r="L83" s="37"/>
      <c r="M83" s="25"/>
    </row>
    <row r="84" spans="1:13" ht="11.25" customHeight="1" x14ac:dyDescent="0.25">
      <c r="A84" s="38"/>
      <c r="B84" s="19"/>
      <c r="C84" s="30"/>
      <c r="D84" s="31"/>
      <c r="E84" s="19"/>
      <c r="F84" s="32"/>
      <c r="G84" s="20"/>
      <c r="H84" s="33"/>
      <c r="I84" s="34"/>
      <c r="J84" s="35"/>
      <c r="K84" s="36"/>
      <c r="L84" s="37"/>
      <c r="M84" s="25"/>
    </row>
    <row r="85" spans="1:13" ht="11.25" customHeight="1" x14ac:dyDescent="0.25">
      <c r="A85" s="38"/>
      <c r="B85" s="19"/>
      <c r="C85" s="30"/>
      <c r="D85" s="31"/>
      <c r="E85" s="19"/>
      <c r="F85" s="32"/>
      <c r="G85" s="20"/>
      <c r="H85" s="33"/>
      <c r="I85" s="34"/>
      <c r="J85" s="35"/>
      <c r="K85" s="36"/>
      <c r="L85" s="37"/>
      <c r="M85" s="25"/>
    </row>
    <row r="86" spans="1:13" ht="11.25" customHeight="1" x14ac:dyDescent="0.25">
      <c r="A86" s="38"/>
      <c r="B86" s="19"/>
      <c r="C86" s="30"/>
      <c r="D86" s="31"/>
      <c r="E86" s="19"/>
      <c r="F86" s="32"/>
      <c r="G86" s="20"/>
      <c r="H86" s="33"/>
      <c r="I86" s="34"/>
      <c r="J86" s="35"/>
      <c r="K86" s="36"/>
      <c r="L86" s="37"/>
      <c r="M86" s="25"/>
    </row>
    <row r="87" spans="1:13" ht="11.25" customHeight="1" x14ac:dyDescent="0.25">
      <c r="A87" s="38"/>
      <c r="B87" s="19"/>
      <c r="C87" s="30"/>
      <c r="D87" s="31"/>
      <c r="E87" s="19"/>
      <c r="F87" s="32"/>
      <c r="G87" s="20"/>
      <c r="H87" s="33"/>
      <c r="I87" s="34"/>
      <c r="J87" s="35"/>
      <c r="K87" s="36"/>
      <c r="L87" s="37"/>
      <c r="M87" s="25"/>
    </row>
    <row r="88" spans="1:13" ht="11.25" customHeight="1" x14ac:dyDescent="0.25">
      <c r="A88" s="38"/>
      <c r="B88" s="19"/>
      <c r="C88" s="30"/>
      <c r="D88" s="31"/>
      <c r="E88" s="19"/>
      <c r="F88" s="32"/>
      <c r="G88" s="20"/>
      <c r="H88" s="33"/>
      <c r="I88" s="34"/>
      <c r="J88" s="35"/>
      <c r="K88" s="36"/>
      <c r="L88" s="37"/>
      <c r="M88" s="25"/>
    </row>
    <row r="89" spans="1:13" ht="11.25" customHeight="1" x14ac:dyDescent="0.25">
      <c r="A89" s="38"/>
      <c r="B89" s="19"/>
      <c r="C89" s="30"/>
      <c r="D89" s="31"/>
      <c r="E89" s="19"/>
      <c r="F89" s="32"/>
      <c r="G89" s="20"/>
      <c r="H89" s="33"/>
      <c r="I89" s="34"/>
      <c r="J89" s="35"/>
      <c r="K89" s="36"/>
      <c r="L89" s="37"/>
      <c r="M89" s="25"/>
    </row>
    <row r="90" spans="1:13" ht="11.25" customHeight="1" x14ac:dyDescent="0.25">
      <c r="A90" s="38"/>
      <c r="B90" s="19"/>
      <c r="C90" s="30"/>
      <c r="D90" s="31"/>
      <c r="E90" s="19"/>
      <c r="F90" s="32"/>
      <c r="G90" s="20"/>
      <c r="H90" s="33"/>
      <c r="I90" s="34"/>
      <c r="J90" s="35"/>
      <c r="K90" s="36"/>
      <c r="L90" s="37"/>
      <c r="M90" s="25"/>
    </row>
    <row r="91" spans="1:13" ht="11.25" customHeight="1" x14ac:dyDescent="0.25">
      <c r="A91" s="38"/>
      <c r="B91" s="19"/>
      <c r="C91" s="30"/>
      <c r="D91" s="31"/>
      <c r="E91" s="19"/>
      <c r="F91" s="32"/>
      <c r="G91" s="20"/>
      <c r="H91" s="33"/>
      <c r="I91" s="34"/>
      <c r="J91" s="35"/>
      <c r="K91" s="36"/>
      <c r="L91" s="37"/>
      <c r="M91" s="25"/>
    </row>
    <row r="92" spans="1:13" ht="11.25" customHeight="1" x14ac:dyDescent="0.25">
      <c r="A92" s="38"/>
      <c r="B92" s="19"/>
      <c r="C92" s="30"/>
      <c r="D92" s="31"/>
      <c r="E92" s="19"/>
      <c r="F92" s="32"/>
      <c r="G92" s="20"/>
      <c r="H92" s="33"/>
      <c r="I92" s="34"/>
      <c r="J92" s="35"/>
      <c r="K92" s="36"/>
      <c r="L92" s="37"/>
      <c r="M92" s="25"/>
    </row>
    <row r="93" spans="1:13" ht="11.25" customHeight="1" x14ac:dyDescent="0.25">
      <c r="A93" s="38"/>
      <c r="B93" s="19"/>
      <c r="C93" s="30"/>
      <c r="D93" s="31"/>
      <c r="E93" s="19"/>
      <c r="F93" s="32"/>
      <c r="G93" s="20"/>
      <c r="H93" s="33"/>
      <c r="I93" s="34"/>
      <c r="J93" s="35"/>
      <c r="K93" s="36"/>
      <c r="L93" s="37"/>
      <c r="M93" s="25"/>
    </row>
    <row r="94" spans="1:13" ht="11.25" customHeight="1" x14ac:dyDescent="0.25">
      <c r="A94" s="38"/>
      <c r="B94" s="19"/>
      <c r="C94" s="30"/>
      <c r="D94" s="31"/>
      <c r="E94" s="19"/>
      <c r="F94" s="32"/>
      <c r="G94" s="20"/>
      <c r="H94" s="33"/>
      <c r="I94" s="34"/>
      <c r="J94" s="35"/>
      <c r="K94" s="36"/>
      <c r="L94" s="37"/>
      <c r="M94" s="25"/>
    </row>
    <row r="95" spans="1:13" ht="11.25" customHeight="1" x14ac:dyDescent="0.25">
      <c r="A95" s="38"/>
      <c r="B95" s="19"/>
      <c r="C95" s="30"/>
      <c r="D95" s="31"/>
      <c r="E95" s="19"/>
      <c r="F95" s="32"/>
      <c r="G95" s="20"/>
      <c r="H95" s="33"/>
      <c r="I95" s="34"/>
      <c r="J95" s="35"/>
      <c r="K95" s="36"/>
      <c r="L95" s="37"/>
      <c r="M95" s="25"/>
    </row>
    <row r="96" spans="1:13" ht="11.25" customHeight="1" x14ac:dyDescent="0.25">
      <c r="A96" s="38"/>
      <c r="B96" s="19"/>
      <c r="C96" s="30"/>
      <c r="D96" s="31"/>
      <c r="E96" s="19"/>
      <c r="F96" s="32"/>
      <c r="G96" s="20"/>
      <c r="H96" s="33"/>
      <c r="I96" s="34"/>
      <c r="J96" s="35"/>
      <c r="K96" s="36"/>
      <c r="L96" s="37"/>
      <c r="M96" s="25"/>
    </row>
    <row r="97" spans="1:13" ht="11.25" customHeight="1" x14ac:dyDescent="0.25">
      <c r="A97" s="38"/>
      <c r="B97" s="19"/>
      <c r="C97" s="30"/>
      <c r="D97" s="31"/>
      <c r="E97" s="19"/>
      <c r="F97" s="32"/>
      <c r="G97" s="20"/>
      <c r="H97" s="33"/>
      <c r="I97" s="34"/>
      <c r="J97" s="35"/>
      <c r="K97" s="36"/>
      <c r="L97" s="37"/>
      <c r="M97" s="25"/>
    </row>
    <row r="98" spans="1:13" ht="11.25" customHeight="1" x14ac:dyDescent="0.25">
      <c r="A98" s="38"/>
      <c r="B98" s="19"/>
      <c r="C98" s="30"/>
      <c r="D98" s="31"/>
      <c r="E98" s="19"/>
      <c r="F98" s="32"/>
      <c r="G98" s="20"/>
      <c r="H98" s="33"/>
      <c r="I98" s="34"/>
      <c r="J98" s="35"/>
      <c r="K98" s="36"/>
      <c r="L98" s="37"/>
      <c r="M98" s="25"/>
    </row>
    <row r="99" spans="1:13" ht="11.25" customHeight="1" x14ac:dyDescent="0.25">
      <c r="A99" s="38"/>
      <c r="B99" s="19"/>
      <c r="C99" s="30"/>
      <c r="D99" s="31"/>
      <c r="E99" s="19"/>
      <c r="F99" s="32"/>
      <c r="G99" s="20"/>
      <c r="H99" s="33"/>
      <c r="I99" s="34"/>
      <c r="J99" s="35"/>
      <c r="K99" s="36"/>
      <c r="L99" s="37"/>
      <c r="M99" s="25"/>
    </row>
    <row r="100" spans="1:13" ht="11.25" customHeight="1" x14ac:dyDescent="0.25">
      <c r="A100" s="38"/>
      <c r="B100" s="19"/>
      <c r="C100" s="30"/>
      <c r="D100" s="31"/>
      <c r="E100" s="19"/>
      <c r="F100" s="32"/>
      <c r="G100" s="20"/>
      <c r="H100" s="33"/>
      <c r="I100" s="34"/>
      <c r="J100" s="35"/>
      <c r="K100" s="36"/>
      <c r="L100" s="37"/>
      <c r="M100" s="25"/>
    </row>
    <row r="101" spans="1:13" ht="11.25" customHeight="1" x14ac:dyDescent="0.25">
      <c r="A101" s="38"/>
      <c r="B101" s="19"/>
      <c r="C101" s="30"/>
      <c r="D101" s="31"/>
      <c r="E101" s="19"/>
      <c r="F101" s="32"/>
      <c r="G101" s="20"/>
      <c r="H101" s="33"/>
      <c r="I101" s="34"/>
      <c r="J101" s="35"/>
      <c r="K101" s="36"/>
      <c r="L101" s="37"/>
      <c r="M101" s="25"/>
    </row>
    <row r="102" spans="1:13" ht="11.25" customHeight="1" x14ac:dyDescent="0.25">
      <c r="A102" s="38"/>
      <c r="B102" s="19"/>
      <c r="C102" s="30"/>
      <c r="D102" s="31"/>
      <c r="E102" s="19"/>
      <c r="F102" s="32"/>
      <c r="G102" s="20"/>
      <c r="H102" s="33"/>
      <c r="I102" s="34"/>
      <c r="J102" s="35"/>
      <c r="K102" s="36"/>
      <c r="L102" s="37"/>
      <c r="M102" s="25"/>
    </row>
    <row r="103" spans="1:13" ht="11.25" customHeight="1" x14ac:dyDescent="0.25">
      <c r="A103" s="38"/>
      <c r="B103" s="19"/>
      <c r="C103" s="30"/>
      <c r="D103" s="31"/>
      <c r="E103" s="19"/>
      <c r="F103" s="32"/>
      <c r="G103" s="20"/>
      <c r="H103" s="33"/>
      <c r="I103" s="34"/>
      <c r="J103" s="35"/>
      <c r="K103" s="36"/>
      <c r="L103" s="37"/>
      <c r="M103" s="25"/>
    </row>
    <row r="104" spans="1:13" ht="11.25" customHeight="1" x14ac:dyDescent="0.25">
      <c r="A104" s="38"/>
      <c r="B104" s="19"/>
      <c r="C104" s="30"/>
      <c r="D104" s="31"/>
      <c r="E104" s="19"/>
      <c r="F104" s="32"/>
      <c r="G104" s="20"/>
      <c r="H104" s="33"/>
      <c r="I104" s="34"/>
      <c r="J104" s="35"/>
      <c r="K104" s="36"/>
      <c r="L104" s="37"/>
      <c r="M104" s="25"/>
    </row>
    <row r="105" spans="1:13" ht="11.25" customHeight="1" x14ac:dyDescent="0.25">
      <c r="A105" s="38"/>
      <c r="B105" s="19"/>
      <c r="C105" s="30"/>
      <c r="D105" s="31"/>
      <c r="E105" s="19"/>
      <c r="F105" s="32"/>
      <c r="G105" s="20"/>
      <c r="H105" s="33"/>
      <c r="I105" s="34"/>
      <c r="J105" s="35"/>
      <c r="K105" s="36"/>
      <c r="L105" s="37"/>
      <c r="M105" s="25"/>
    </row>
    <row r="106" spans="1:13" ht="11.25" customHeight="1" x14ac:dyDescent="0.25">
      <c r="A106" s="38"/>
      <c r="B106" s="19"/>
      <c r="C106" s="30"/>
      <c r="D106" s="31"/>
      <c r="E106" s="19"/>
      <c r="F106" s="32"/>
      <c r="G106" s="20"/>
      <c r="H106" s="33"/>
      <c r="I106" s="34"/>
      <c r="J106" s="35"/>
      <c r="K106" s="36"/>
      <c r="L106" s="37"/>
      <c r="M106" s="25"/>
    </row>
    <row r="107" spans="1:13" ht="11.25" customHeight="1" x14ac:dyDescent="0.25">
      <c r="A107" s="38"/>
      <c r="B107" s="19"/>
      <c r="C107" s="30"/>
      <c r="D107" s="31"/>
      <c r="E107" s="19"/>
      <c r="F107" s="32"/>
      <c r="G107" s="20"/>
      <c r="H107" s="33"/>
      <c r="I107" s="34"/>
      <c r="J107" s="35"/>
      <c r="K107" s="36"/>
      <c r="L107" s="37"/>
      <c r="M107" s="25"/>
    </row>
    <row r="108" spans="1:13" ht="11.25" customHeight="1" x14ac:dyDescent="0.25">
      <c r="A108" s="38"/>
      <c r="B108" s="19"/>
      <c r="C108" s="30"/>
      <c r="D108" s="31"/>
      <c r="E108" s="19"/>
      <c r="F108" s="32"/>
      <c r="G108" s="20"/>
      <c r="H108" s="33"/>
      <c r="I108" s="34"/>
      <c r="J108" s="35"/>
      <c r="K108" s="36"/>
      <c r="L108" s="37"/>
      <c r="M108" s="25"/>
    </row>
    <row r="109" spans="1:13" ht="11.25" customHeight="1" x14ac:dyDescent="0.25">
      <c r="A109" s="38"/>
      <c r="B109" s="19"/>
      <c r="C109" s="30"/>
      <c r="D109" s="31"/>
      <c r="E109" s="19"/>
      <c r="F109" s="32"/>
      <c r="G109" s="20"/>
      <c r="H109" s="33"/>
      <c r="I109" s="34"/>
      <c r="J109" s="35"/>
      <c r="K109" s="36"/>
      <c r="L109" s="37"/>
      <c r="M109" s="25"/>
    </row>
    <row r="110" spans="1:13" ht="11.25" customHeight="1" x14ac:dyDescent="0.25">
      <c r="A110" s="38"/>
      <c r="B110" s="19"/>
      <c r="C110" s="30"/>
      <c r="D110" s="31"/>
      <c r="E110" s="19"/>
      <c r="F110" s="32"/>
      <c r="G110" s="20"/>
      <c r="H110" s="33"/>
      <c r="I110" s="34"/>
      <c r="J110" s="35"/>
      <c r="K110" s="36"/>
      <c r="L110" s="37"/>
      <c r="M110" s="25"/>
    </row>
    <row r="111" spans="1:13" ht="11.25" customHeight="1" x14ac:dyDescent="0.25">
      <c r="A111" s="38"/>
      <c r="B111" s="19"/>
      <c r="C111" s="30"/>
      <c r="D111" s="31"/>
      <c r="E111" s="19"/>
      <c r="F111" s="32"/>
      <c r="G111" s="20"/>
      <c r="H111" s="33"/>
      <c r="I111" s="34"/>
      <c r="J111" s="35"/>
      <c r="K111" s="36"/>
      <c r="L111" s="37"/>
      <c r="M111" s="25"/>
    </row>
    <row r="112" spans="1:13" ht="11.25" customHeight="1" x14ac:dyDescent="0.25">
      <c r="A112" s="38"/>
      <c r="B112" s="19"/>
      <c r="C112" s="30"/>
      <c r="D112" s="31"/>
      <c r="E112" s="19"/>
      <c r="F112" s="32"/>
      <c r="G112" s="20"/>
      <c r="H112" s="33"/>
      <c r="I112" s="34"/>
      <c r="J112" s="35"/>
      <c r="K112" s="36"/>
      <c r="L112" s="37"/>
      <c r="M112" s="25"/>
    </row>
    <row r="113" spans="1:13" ht="11.25" customHeight="1" x14ac:dyDescent="0.25">
      <c r="A113" s="38"/>
      <c r="B113" s="19"/>
      <c r="C113" s="30"/>
      <c r="D113" s="31"/>
      <c r="E113" s="19"/>
      <c r="F113" s="32"/>
      <c r="G113" s="20"/>
      <c r="H113" s="33"/>
      <c r="I113" s="34"/>
      <c r="J113" s="35"/>
      <c r="K113" s="36"/>
      <c r="L113" s="37"/>
      <c r="M113" s="25"/>
    </row>
    <row r="114" spans="1:13" ht="11.25" customHeight="1" x14ac:dyDescent="0.25">
      <c r="A114" s="38"/>
      <c r="B114" s="19"/>
      <c r="C114" s="30"/>
      <c r="D114" s="31"/>
      <c r="E114" s="19"/>
      <c r="F114" s="32"/>
      <c r="G114" s="20"/>
      <c r="H114" s="33"/>
      <c r="I114" s="34"/>
      <c r="J114" s="35"/>
      <c r="K114" s="36"/>
      <c r="L114" s="37"/>
      <c r="M114" s="25"/>
    </row>
    <row r="115" spans="1:13" ht="11.25" customHeight="1" x14ac:dyDescent="0.25">
      <c r="A115" s="38"/>
      <c r="B115" s="19"/>
      <c r="C115" s="30"/>
      <c r="D115" s="31"/>
      <c r="E115" s="19"/>
      <c r="F115" s="32"/>
      <c r="G115" s="20"/>
      <c r="H115" s="33"/>
      <c r="I115" s="34"/>
      <c r="J115" s="35"/>
      <c r="K115" s="36"/>
      <c r="L115" s="37"/>
      <c r="M115" s="25"/>
    </row>
    <row r="116" spans="1:13" ht="11.25" customHeight="1" x14ac:dyDescent="0.25">
      <c r="A116" s="38"/>
      <c r="B116" s="19"/>
      <c r="C116" s="30"/>
      <c r="D116" s="31"/>
      <c r="E116" s="19"/>
      <c r="F116" s="32"/>
      <c r="G116" s="20"/>
      <c r="H116" s="33"/>
      <c r="I116" s="34"/>
      <c r="J116" s="35"/>
      <c r="K116" s="36"/>
      <c r="L116" s="37"/>
      <c r="M116" s="25"/>
    </row>
    <row r="117" spans="1:13" ht="11.25" customHeight="1" x14ac:dyDescent="0.25">
      <c r="A117" s="38"/>
      <c r="B117" s="19"/>
      <c r="C117" s="30"/>
      <c r="D117" s="31"/>
      <c r="E117" s="19"/>
      <c r="F117" s="32"/>
      <c r="G117" s="20"/>
      <c r="H117" s="33"/>
      <c r="I117" s="34"/>
      <c r="J117" s="35"/>
      <c r="K117" s="36"/>
      <c r="L117" s="37"/>
      <c r="M117" s="25"/>
    </row>
    <row r="118" spans="1:13" ht="11.25" customHeight="1" x14ac:dyDescent="0.25">
      <c r="A118" s="38"/>
      <c r="B118" s="19"/>
      <c r="C118" s="30"/>
      <c r="D118" s="31"/>
      <c r="E118" s="19"/>
      <c r="F118" s="32"/>
      <c r="G118" s="20"/>
      <c r="H118" s="33"/>
      <c r="I118" s="34"/>
      <c r="J118" s="35"/>
      <c r="K118" s="36"/>
      <c r="L118" s="37"/>
      <c r="M118" s="25"/>
    </row>
    <row r="119" spans="1:13" ht="11.25" customHeight="1" x14ac:dyDescent="0.25">
      <c r="A119" s="38"/>
      <c r="B119" s="19"/>
      <c r="C119" s="30"/>
      <c r="D119" s="31"/>
      <c r="E119" s="19"/>
      <c r="F119" s="32"/>
      <c r="G119" s="20"/>
      <c r="H119" s="33"/>
      <c r="I119" s="34"/>
      <c r="J119" s="35"/>
      <c r="K119" s="36"/>
      <c r="L119" s="37"/>
      <c r="M119" s="25"/>
    </row>
    <row r="120" spans="1:13" ht="11.25" customHeight="1" x14ac:dyDescent="0.25">
      <c r="A120" s="38"/>
      <c r="B120" s="19"/>
      <c r="C120" s="30"/>
      <c r="D120" s="31"/>
      <c r="E120" s="19"/>
      <c r="F120" s="32"/>
      <c r="G120" s="20"/>
      <c r="H120" s="33"/>
      <c r="I120" s="34"/>
      <c r="J120" s="35"/>
      <c r="K120" s="36"/>
      <c r="L120" s="37"/>
      <c r="M120" s="25"/>
    </row>
    <row r="121" spans="1:13" ht="11.25" customHeight="1" x14ac:dyDescent="0.25">
      <c r="A121" s="38"/>
      <c r="B121" s="19"/>
      <c r="C121" s="30"/>
      <c r="D121" s="31"/>
      <c r="E121" s="19"/>
      <c r="F121" s="32"/>
      <c r="G121" s="20"/>
      <c r="H121" s="33"/>
      <c r="I121" s="34"/>
      <c r="J121" s="35"/>
      <c r="K121" s="36"/>
      <c r="L121" s="37"/>
      <c r="M121" s="25"/>
    </row>
    <row r="122" spans="1:13" ht="11.25" customHeight="1" x14ac:dyDescent="0.25">
      <c r="A122" s="38"/>
      <c r="B122" s="19"/>
      <c r="C122" s="30"/>
      <c r="D122" s="31"/>
      <c r="E122" s="19"/>
      <c r="F122" s="32"/>
      <c r="G122" s="20"/>
      <c r="H122" s="33"/>
      <c r="I122" s="34"/>
      <c r="J122" s="35"/>
      <c r="K122" s="36"/>
      <c r="L122" s="37"/>
      <c r="M122" s="25"/>
    </row>
    <row r="123" spans="1:13" ht="15.75" customHeight="1" x14ac:dyDescent="0.25">
      <c r="J123" s="39"/>
    </row>
    <row r="124" spans="1:13" ht="15.75" customHeight="1" x14ac:dyDescent="0.25">
      <c r="J124" s="39"/>
    </row>
    <row r="125" spans="1:13" ht="15.75" customHeight="1" x14ac:dyDescent="0.25">
      <c r="J125" s="39"/>
    </row>
    <row r="126" spans="1:13" ht="15.75" customHeight="1" x14ac:dyDescent="0.25">
      <c r="J126" s="39"/>
    </row>
    <row r="127" spans="1:13" ht="15.75" customHeight="1" x14ac:dyDescent="0.25">
      <c r="J127" s="39"/>
    </row>
    <row r="128" spans="1:13" ht="15.75" customHeight="1" x14ac:dyDescent="0.25">
      <c r="J128" s="39"/>
    </row>
    <row r="129" spans="10:10" ht="15.75" customHeight="1" x14ac:dyDescent="0.25">
      <c r="J129" s="39"/>
    </row>
    <row r="130" spans="10:10" ht="15.75" customHeight="1" x14ac:dyDescent="0.25">
      <c r="J130" s="39"/>
    </row>
    <row r="131" spans="10:10" ht="15.75" customHeight="1" x14ac:dyDescent="0.25">
      <c r="J131" s="39"/>
    </row>
    <row r="132" spans="10:10" ht="15.75" customHeight="1" x14ac:dyDescent="0.25">
      <c r="J132" s="39"/>
    </row>
    <row r="133" spans="10:10" ht="15.75" customHeight="1" x14ac:dyDescent="0.25">
      <c r="J133" s="39"/>
    </row>
    <row r="134" spans="10:10" ht="15.75" customHeight="1" x14ac:dyDescent="0.25">
      <c r="J134" s="39"/>
    </row>
    <row r="135" spans="10:10" ht="15.75" customHeight="1" x14ac:dyDescent="0.25">
      <c r="J135" s="39"/>
    </row>
    <row r="136" spans="10:10" ht="15.75" customHeight="1" x14ac:dyDescent="0.25">
      <c r="J136" s="39"/>
    </row>
    <row r="137" spans="10:10" ht="15.75" customHeight="1" x14ac:dyDescent="0.25">
      <c r="J137" s="39"/>
    </row>
    <row r="138" spans="10:10" ht="15.75" customHeight="1" x14ac:dyDescent="0.25">
      <c r="J138" s="39"/>
    </row>
    <row r="139" spans="10:10" ht="15.75" customHeight="1" x14ac:dyDescent="0.25">
      <c r="J139" s="39"/>
    </row>
    <row r="140" spans="10:10" ht="15.75" customHeight="1" x14ac:dyDescent="0.25">
      <c r="J140" s="39"/>
    </row>
    <row r="141" spans="10:10" ht="15.75" customHeight="1" x14ac:dyDescent="0.25">
      <c r="J141" s="39"/>
    </row>
    <row r="142" spans="10:10" ht="15.75" customHeight="1" x14ac:dyDescent="0.25">
      <c r="J142" s="39"/>
    </row>
    <row r="143" spans="10:10" ht="15.75" customHeight="1" x14ac:dyDescent="0.25">
      <c r="J143" s="39"/>
    </row>
    <row r="144" spans="10:10" ht="15.75" customHeight="1" x14ac:dyDescent="0.25">
      <c r="J144" s="39"/>
    </row>
    <row r="145" spans="10:10" ht="15.75" customHeight="1" x14ac:dyDescent="0.25">
      <c r="J145" s="39"/>
    </row>
    <row r="146" spans="10:10" ht="15.75" customHeight="1" x14ac:dyDescent="0.25">
      <c r="J146" s="39"/>
    </row>
    <row r="147" spans="10:10" ht="15.75" customHeight="1" x14ac:dyDescent="0.25">
      <c r="J147" s="39"/>
    </row>
    <row r="148" spans="10:10" ht="15.75" customHeight="1" x14ac:dyDescent="0.25">
      <c r="J148" s="39"/>
    </row>
    <row r="149" spans="10:10" ht="15.75" customHeight="1" x14ac:dyDescent="0.25">
      <c r="J149" s="39"/>
    </row>
    <row r="150" spans="10:10" ht="15.75" customHeight="1" x14ac:dyDescent="0.25">
      <c r="J150" s="39"/>
    </row>
    <row r="151" spans="10:10" ht="15.75" customHeight="1" x14ac:dyDescent="0.25">
      <c r="J151" s="39"/>
    </row>
    <row r="152" spans="10:10" ht="15.75" customHeight="1" x14ac:dyDescent="0.25">
      <c r="J152" s="39"/>
    </row>
    <row r="153" spans="10:10" ht="15.75" customHeight="1" x14ac:dyDescent="0.25">
      <c r="J153" s="39"/>
    </row>
    <row r="154" spans="10:10" ht="15.75" customHeight="1" x14ac:dyDescent="0.25">
      <c r="J154" s="39"/>
    </row>
    <row r="155" spans="10:10" ht="15.75" customHeight="1" x14ac:dyDescent="0.25">
      <c r="J155" s="39"/>
    </row>
    <row r="156" spans="10:10" ht="15.75" customHeight="1" x14ac:dyDescent="0.25">
      <c r="J156" s="39"/>
    </row>
    <row r="157" spans="10:10" ht="15.75" customHeight="1" x14ac:dyDescent="0.25">
      <c r="J157" s="39"/>
    </row>
    <row r="158" spans="10:10" ht="15.75" customHeight="1" x14ac:dyDescent="0.25">
      <c r="J158" s="39"/>
    </row>
    <row r="159" spans="10:10" ht="15.75" customHeight="1" x14ac:dyDescent="0.25">
      <c r="J159" s="39"/>
    </row>
    <row r="160" spans="10:10" ht="15.75" customHeight="1" x14ac:dyDescent="0.25">
      <c r="J160" s="39"/>
    </row>
    <row r="161" spans="10:10" ht="15.75" customHeight="1" x14ac:dyDescent="0.25">
      <c r="J161" s="39"/>
    </row>
    <row r="162" spans="10:10" ht="15.75" customHeight="1" x14ac:dyDescent="0.25">
      <c r="J162" s="39"/>
    </row>
    <row r="163" spans="10:10" ht="15.75" customHeight="1" x14ac:dyDescent="0.25">
      <c r="J163" s="39"/>
    </row>
    <row r="164" spans="10:10" ht="15.75" customHeight="1" x14ac:dyDescent="0.25">
      <c r="J164" s="39"/>
    </row>
    <row r="165" spans="10:10" ht="15.75" customHeight="1" x14ac:dyDescent="0.25">
      <c r="J165" s="39"/>
    </row>
    <row r="166" spans="10:10" ht="15.75" customHeight="1" x14ac:dyDescent="0.25">
      <c r="J166" s="39"/>
    </row>
    <row r="167" spans="10:10" ht="15.75" customHeight="1" x14ac:dyDescent="0.25">
      <c r="J167" s="39"/>
    </row>
    <row r="168" spans="10:10" ht="15.75" customHeight="1" x14ac:dyDescent="0.25">
      <c r="J168" s="39"/>
    </row>
    <row r="169" spans="10:10" ht="15.75" customHeight="1" x14ac:dyDescent="0.25">
      <c r="J169" s="39"/>
    </row>
    <row r="170" spans="10:10" ht="15.75" customHeight="1" x14ac:dyDescent="0.25">
      <c r="J170" s="39"/>
    </row>
    <row r="171" spans="10:10" ht="15.75" customHeight="1" x14ac:dyDescent="0.25">
      <c r="J171" s="39"/>
    </row>
    <row r="172" spans="10:10" ht="15.75" customHeight="1" x14ac:dyDescent="0.25">
      <c r="J172" s="39"/>
    </row>
    <row r="173" spans="10:10" ht="15.75" customHeight="1" x14ac:dyDescent="0.25">
      <c r="J173" s="39"/>
    </row>
    <row r="174" spans="10:10" ht="15.75" customHeight="1" x14ac:dyDescent="0.25">
      <c r="J174" s="39"/>
    </row>
    <row r="175" spans="10:10" ht="15.75" customHeight="1" x14ac:dyDescent="0.25">
      <c r="J175" s="39"/>
    </row>
    <row r="176" spans="10:10" ht="15.75" customHeight="1" x14ac:dyDescent="0.25">
      <c r="J176" s="39"/>
    </row>
    <row r="177" spans="10:10" ht="15.75" customHeight="1" x14ac:dyDescent="0.25">
      <c r="J177" s="39"/>
    </row>
    <row r="178" spans="10:10" ht="15.75" customHeight="1" x14ac:dyDescent="0.25">
      <c r="J178" s="39"/>
    </row>
    <row r="179" spans="10:10" ht="15.75" customHeight="1" x14ac:dyDescent="0.25">
      <c r="J179" s="39"/>
    </row>
    <row r="180" spans="10:10" ht="15.75" customHeight="1" x14ac:dyDescent="0.25">
      <c r="J180" s="39"/>
    </row>
    <row r="181" spans="10:10" ht="15.75" customHeight="1" x14ac:dyDescent="0.25">
      <c r="J181" s="39"/>
    </row>
    <row r="182" spans="10:10" ht="15.75" customHeight="1" x14ac:dyDescent="0.25">
      <c r="J182" s="39"/>
    </row>
    <row r="183" spans="10:10" ht="15.75" customHeight="1" x14ac:dyDescent="0.25">
      <c r="J183" s="39"/>
    </row>
    <row r="184" spans="10:10" ht="15.75" customHeight="1" x14ac:dyDescent="0.25">
      <c r="J184" s="39"/>
    </row>
    <row r="185" spans="10:10" ht="15.75" customHeight="1" x14ac:dyDescent="0.25">
      <c r="J185" s="39"/>
    </row>
    <row r="186" spans="10:10" ht="15.75" customHeight="1" x14ac:dyDescent="0.25">
      <c r="J186" s="39"/>
    </row>
    <row r="187" spans="10:10" ht="15.75" customHeight="1" x14ac:dyDescent="0.25">
      <c r="J187" s="39"/>
    </row>
    <row r="188" spans="10:10" ht="15.75" customHeight="1" x14ac:dyDescent="0.25">
      <c r="J188" s="39"/>
    </row>
    <row r="189" spans="10:10" ht="15.75" customHeight="1" x14ac:dyDescent="0.25">
      <c r="J189" s="39"/>
    </row>
    <row r="190" spans="10:10" ht="15.75" customHeight="1" x14ac:dyDescent="0.25">
      <c r="J190" s="39"/>
    </row>
    <row r="191" spans="10:10" ht="15.75" customHeight="1" x14ac:dyDescent="0.25">
      <c r="J191" s="39"/>
    </row>
    <row r="192" spans="10:10" ht="15.75" customHeight="1" x14ac:dyDescent="0.25">
      <c r="J192" s="39"/>
    </row>
    <row r="193" spans="10:10" ht="15.75" customHeight="1" x14ac:dyDescent="0.25">
      <c r="J193" s="39"/>
    </row>
    <row r="194" spans="10:10" ht="15.75" customHeight="1" x14ac:dyDescent="0.25">
      <c r="J194" s="39"/>
    </row>
    <row r="195" spans="10:10" ht="15.75" customHeight="1" x14ac:dyDescent="0.25">
      <c r="J195" s="39"/>
    </row>
    <row r="196" spans="10:10" ht="15.75" customHeight="1" x14ac:dyDescent="0.25">
      <c r="J196" s="39"/>
    </row>
    <row r="197" spans="10:10" ht="15.75" customHeight="1" x14ac:dyDescent="0.25">
      <c r="J197" s="39"/>
    </row>
    <row r="198" spans="10:10" ht="15.75" customHeight="1" x14ac:dyDescent="0.25">
      <c r="J198" s="39"/>
    </row>
    <row r="199" spans="10:10" ht="15.75" customHeight="1" x14ac:dyDescent="0.25">
      <c r="J199" s="39"/>
    </row>
    <row r="200" spans="10:10" ht="15.75" customHeight="1" x14ac:dyDescent="0.25">
      <c r="J200" s="39"/>
    </row>
    <row r="201" spans="10:10" ht="15.75" customHeight="1" x14ac:dyDescent="0.25">
      <c r="J201" s="39"/>
    </row>
    <row r="202" spans="10:10" ht="15.75" customHeight="1" x14ac:dyDescent="0.25">
      <c r="J202" s="39"/>
    </row>
    <row r="203" spans="10:10" ht="15.75" customHeight="1" x14ac:dyDescent="0.25">
      <c r="J203" s="39"/>
    </row>
    <row r="204" spans="10:10" ht="15.75" customHeight="1" x14ac:dyDescent="0.25">
      <c r="J204" s="39"/>
    </row>
    <row r="205" spans="10:10" ht="15.75" customHeight="1" x14ac:dyDescent="0.25">
      <c r="J205" s="39"/>
    </row>
    <row r="206" spans="10:10" ht="15.75" customHeight="1" x14ac:dyDescent="0.25">
      <c r="J206" s="39"/>
    </row>
    <row r="207" spans="10:10" ht="15.75" customHeight="1" x14ac:dyDescent="0.25">
      <c r="J207" s="39"/>
    </row>
    <row r="208" spans="10:10" ht="15.75" customHeight="1" x14ac:dyDescent="0.25">
      <c r="J208" s="39"/>
    </row>
    <row r="209" spans="10:10" ht="15.75" customHeight="1" x14ac:dyDescent="0.25">
      <c r="J209" s="39"/>
    </row>
    <row r="210" spans="10:10" ht="15.75" customHeight="1" x14ac:dyDescent="0.25">
      <c r="J210" s="39"/>
    </row>
    <row r="211" spans="10:10" ht="15.75" customHeight="1" x14ac:dyDescent="0.25">
      <c r="J211" s="39"/>
    </row>
    <row r="212" spans="10:10" ht="15.75" customHeight="1" x14ac:dyDescent="0.25">
      <c r="J212" s="39"/>
    </row>
    <row r="213" spans="10:10" ht="15.75" customHeight="1" x14ac:dyDescent="0.25">
      <c r="J213" s="39"/>
    </row>
    <row r="214" spans="10:10" ht="15.75" customHeight="1" x14ac:dyDescent="0.25">
      <c r="J214" s="39"/>
    </row>
    <row r="215" spans="10:10" ht="15.75" customHeight="1" x14ac:dyDescent="0.25">
      <c r="J215" s="39"/>
    </row>
    <row r="216" spans="10:10" ht="15.75" customHeight="1" x14ac:dyDescent="0.25">
      <c r="J216" s="39"/>
    </row>
    <row r="217" spans="10:10" ht="15.75" customHeight="1" x14ac:dyDescent="0.25">
      <c r="J217" s="39"/>
    </row>
    <row r="218" spans="10:10" ht="15.75" customHeight="1" x14ac:dyDescent="0.25">
      <c r="J218" s="39"/>
    </row>
    <row r="219" spans="10:10" ht="15.75" customHeight="1" x14ac:dyDescent="0.25">
      <c r="J219" s="39"/>
    </row>
    <row r="220" spans="10:10" ht="15.75" customHeight="1" x14ac:dyDescent="0.25">
      <c r="J220" s="39"/>
    </row>
    <row r="221" spans="10:10" ht="15.75" customHeight="1" x14ac:dyDescent="0.25">
      <c r="J221" s="39"/>
    </row>
    <row r="222" spans="10:10" ht="15.75" customHeight="1" x14ac:dyDescent="0.25">
      <c r="J222" s="39"/>
    </row>
    <row r="223" spans="10:10" ht="15.75" customHeight="1" x14ac:dyDescent="0.25">
      <c r="J223" s="40"/>
    </row>
    <row r="224" spans="10:10" ht="15.75" customHeight="1" x14ac:dyDescent="0.25">
      <c r="J224" s="40"/>
    </row>
    <row r="225" spans="10:10" ht="15.75" customHeight="1" x14ac:dyDescent="0.25">
      <c r="J225" s="40"/>
    </row>
    <row r="226" spans="10:10" ht="15.75" customHeight="1" x14ac:dyDescent="0.25">
      <c r="J226" s="40"/>
    </row>
    <row r="227" spans="10:10" ht="15.75" customHeight="1" x14ac:dyDescent="0.25">
      <c r="J227" s="40"/>
    </row>
    <row r="228" spans="10:10" ht="15.75" customHeight="1" x14ac:dyDescent="0.25">
      <c r="J228" s="40"/>
    </row>
    <row r="229" spans="10:10" ht="15.75" customHeight="1" x14ac:dyDescent="0.25">
      <c r="J229" s="40"/>
    </row>
    <row r="230" spans="10:10" ht="15.75" customHeight="1" x14ac:dyDescent="0.25">
      <c r="J230" s="40"/>
    </row>
    <row r="231" spans="10:10" ht="15.75" customHeight="1" x14ac:dyDescent="0.25">
      <c r="J231" s="40"/>
    </row>
    <row r="232" spans="10:10" ht="15.75" customHeight="1" x14ac:dyDescent="0.25">
      <c r="J232" s="40"/>
    </row>
    <row r="233" spans="10:10" ht="15.75" customHeight="1" x14ac:dyDescent="0.25">
      <c r="J233" s="40"/>
    </row>
    <row r="234" spans="10:10" ht="15.75" customHeight="1" x14ac:dyDescent="0.25">
      <c r="J234" s="40"/>
    </row>
    <row r="235" spans="10:10" ht="15.75" customHeight="1" x14ac:dyDescent="0.25">
      <c r="J235" s="40"/>
    </row>
    <row r="236" spans="10:10" ht="15.75" customHeight="1" x14ac:dyDescent="0.25">
      <c r="J236" s="40"/>
    </row>
    <row r="237" spans="10:10" ht="15.75" customHeight="1" x14ac:dyDescent="0.25">
      <c r="J237" s="40"/>
    </row>
    <row r="238" spans="10:10" ht="15.75" customHeight="1" x14ac:dyDescent="0.25">
      <c r="J238" s="40"/>
    </row>
    <row r="239" spans="10:10" ht="15.75" customHeight="1" x14ac:dyDescent="0.25">
      <c r="J239" s="40"/>
    </row>
    <row r="240" spans="10:10" ht="15.75" customHeight="1" x14ac:dyDescent="0.25">
      <c r="J240" s="40"/>
    </row>
    <row r="241" spans="10:10" ht="15.75" customHeight="1" x14ac:dyDescent="0.25">
      <c r="J241" s="40"/>
    </row>
    <row r="242" spans="10:10" ht="15.75" customHeight="1" x14ac:dyDescent="0.25">
      <c r="J242" s="40"/>
    </row>
    <row r="243" spans="10:10" ht="15.75" customHeight="1" x14ac:dyDescent="0.25">
      <c r="J243" s="40"/>
    </row>
    <row r="244" spans="10:10" ht="15.75" customHeight="1" x14ac:dyDescent="0.25">
      <c r="J244" s="40"/>
    </row>
    <row r="245" spans="10:10" ht="15.75" customHeight="1" x14ac:dyDescent="0.25">
      <c r="J245" s="40"/>
    </row>
    <row r="246" spans="10:10" ht="15.75" customHeight="1" x14ac:dyDescent="0.25">
      <c r="J246" s="40"/>
    </row>
    <row r="247" spans="10:10" ht="15.75" customHeight="1" x14ac:dyDescent="0.25">
      <c r="J247" s="40"/>
    </row>
    <row r="248" spans="10:10" ht="15.75" customHeight="1" x14ac:dyDescent="0.25">
      <c r="J248" s="40"/>
    </row>
    <row r="249" spans="10:10" ht="15.75" customHeight="1" x14ac:dyDescent="0.25">
      <c r="J249" s="40"/>
    </row>
    <row r="250" spans="10:10" ht="15.75" customHeight="1" x14ac:dyDescent="0.25">
      <c r="J250" s="40"/>
    </row>
    <row r="251" spans="10:10" ht="15.75" customHeight="1" x14ac:dyDescent="0.25">
      <c r="J251" s="40"/>
    </row>
    <row r="252" spans="10:10" ht="15.75" customHeight="1" x14ac:dyDescent="0.25">
      <c r="J252" s="40"/>
    </row>
    <row r="253" spans="10:10" ht="15.75" customHeight="1" x14ac:dyDescent="0.25">
      <c r="J253" s="40"/>
    </row>
    <row r="254" spans="10:10" ht="15.75" customHeight="1" x14ac:dyDescent="0.25">
      <c r="J254" s="40"/>
    </row>
    <row r="255" spans="10:10" ht="15.75" customHeight="1" x14ac:dyDescent="0.25">
      <c r="J255" s="40"/>
    </row>
    <row r="256" spans="10:10" ht="15.75" customHeight="1" x14ac:dyDescent="0.25">
      <c r="J256" s="40"/>
    </row>
    <row r="257" spans="10:10" ht="15.75" customHeight="1" x14ac:dyDescent="0.25">
      <c r="J257" s="40"/>
    </row>
    <row r="258" spans="10:10" ht="15.75" customHeight="1" x14ac:dyDescent="0.25">
      <c r="J258" s="40"/>
    </row>
    <row r="259" spans="10:10" ht="15.75" customHeight="1" x14ac:dyDescent="0.25">
      <c r="J259" s="40"/>
    </row>
    <row r="260" spans="10:10" ht="15.75" customHeight="1" x14ac:dyDescent="0.25">
      <c r="J260" s="40"/>
    </row>
    <row r="261" spans="10:10" ht="15.75" customHeight="1" x14ac:dyDescent="0.25">
      <c r="J261" s="40"/>
    </row>
    <row r="262" spans="10:10" ht="15.75" customHeight="1" x14ac:dyDescent="0.25">
      <c r="J262" s="40"/>
    </row>
    <row r="263" spans="10:10" ht="15.75" customHeight="1" x14ac:dyDescent="0.25">
      <c r="J263" s="40"/>
    </row>
    <row r="264" spans="10:10" ht="15.75" customHeight="1" x14ac:dyDescent="0.25">
      <c r="J264" s="40"/>
    </row>
    <row r="265" spans="10:10" ht="15.75" customHeight="1" x14ac:dyDescent="0.25">
      <c r="J265" s="40"/>
    </row>
    <row r="266" spans="10:10" ht="15.75" customHeight="1" x14ac:dyDescent="0.25">
      <c r="J266" s="40"/>
    </row>
    <row r="267" spans="10:10" ht="15.75" customHeight="1" x14ac:dyDescent="0.25">
      <c r="J267" s="40"/>
    </row>
    <row r="268" spans="10:10" ht="15.75" customHeight="1" x14ac:dyDescent="0.25">
      <c r="J268" s="40"/>
    </row>
    <row r="269" spans="10:10" ht="15.75" customHeight="1" x14ac:dyDescent="0.25">
      <c r="J269" s="40"/>
    </row>
    <row r="270" spans="10:10" ht="15.75" customHeight="1" x14ac:dyDescent="0.25">
      <c r="J270" s="40"/>
    </row>
    <row r="271" spans="10:10" ht="15.75" customHeight="1" x14ac:dyDescent="0.25">
      <c r="J271" s="40"/>
    </row>
    <row r="272" spans="10:10" ht="15.75" customHeight="1" x14ac:dyDescent="0.25">
      <c r="J272" s="40"/>
    </row>
    <row r="273" spans="10:10" ht="15.75" customHeight="1" x14ac:dyDescent="0.25">
      <c r="J273" s="40"/>
    </row>
    <row r="274" spans="10:10" ht="15.75" customHeight="1" x14ac:dyDescent="0.25">
      <c r="J274" s="40"/>
    </row>
    <row r="275" spans="10:10" ht="15.75" customHeight="1" x14ac:dyDescent="0.25">
      <c r="J275" s="40"/>
    </row>
    <row r="276" spans="10:10" ht="15.75" customHeight="1" x14ac:dyDescent="0.25">
      <c r="J276" s="40"/>
    </row>
    <row r="277" spans="10:10" ht="15.75" customHeight="1" x14ac:dyDescent="0.25">
      <c r="J277" s="40"/>
    </row>
    <row r="278" spans="10:10" ht="15.75" customHeight="1" x14ac:dyDescent="0.25">
      <c r="J278" s="40"/>
    </row>
    <row r="279" spans="10:10" ht="15.75" customHeight="1" x14ac:dyDescent="0.25">
      <c r="J279" s="40"/>
    </row>
    <row r="280" spans="10:10" ht="15.75" customHeight="1" x14ac:dyDescent="0.25">
      <c r="J280" s="40"/>
    </row>
    <row r="281" spans="10:10" ht="15.75" customHeight="1" x14ac:dyDescent="0.25">
      <c r="J281" s="40"/>
    </row>
    <row r="282" spans="10:10" ht="15.75" customHeight="1" x14ac:dyDescent="0.25">
      <c r="J282" s="40"/>
    </row>
    <row r="283" spans="10:10" ht="15.75" customHeight="1" x14ac:dyDescent="0.25">
      <c r="J283" s="40"/>
    </row>
    <row r="284" spans="10:10" ht="15.75" customHeight="1" x14ac:dyDescent="0.25">
      <c r="J284" s="40"/>
    </row>
    <row r="285" spans="10:10" ht="15.75" customHeight="1" x14ac:dyDescent="0.25">
      <c r="J285" s="40"/>
    </row>
    <row r="286" spans="10:10" ht="15.75" customHeight="1" x14ac:dyDescent="0.25">
      <c r="J286" s="40"/>
    </row>
    <row r="287" spans="10:10" ht="15.75" customHeight="1" x14ac:dyDescent="0.25">
      <c r="J287" s="40"/>
    </row>
    <row r="288" spans="10:10" ht="15.75" customHeight="1" x14ac:dyDescent="0.25">
      <c r="J288" s="40"/>
    </row>
    <row r="289" spans="10:10" ht="15.75" customHeight="1" x14ac:dyDescent="0.25">
      <c r="J289" s="40"/>
    </row>
    <row r="290" spans="10:10" ht="15.75" customHeight="1" x14ac:dyDescent="0.25">
      <c r="J290" s="40"/>
    </row>
    <row r="291" spans="10:10" ht="15.75" customHeight="1" x14ac:dyDescent="0.25">
      <c r="J291" s="40"/>
    </row>
    <row r="292" spans="10:10" ht="15.75" customHeight="1" x14ac:dyDescent="0.25">
      <c r="J292" s="40"/>
    </row>
    <row r="293" spans="10:10" ht="15.75" customHeight="1" x14ac:dyDescent="0.25">
      <c r="J293" s="40"/>
    </row>
    <row r="294" spans="10:10" ht="15.75" customHeight="1" x14ac:dyDescent="0.25">
      <c r="J294" s="40"/>
    </row>
    <row r="295" spans="10:10" ht="15.75" customHeight="1" x14ac:dyDescent="0.25">
      <c r="J295" s="40"/>
    </row>
    <row r="296" spans="10:10" ht="15.75" customHeight="1" x14ac:dyDescent="0.25">
      <c r="J296" s="40"/>
    </row>
    <row r="297" spans="10:10" ht="15.75" customHeight="1" x14ac:dyDescent="0.25">
      <c r="J297" s="40"/>
    </row>
    <row r="298" spans="10:10" ht="15.75" customHeight="1" x14ac:dyDescent="0.25">
      <c r="J298" s="40"/>
    </row>
    <row r="299" spans="10:10" ht="15.75" customHeight="1" x14ac:dyDescent="0.25">
      <c r="J299" s="40"/>
    </row>
    <row r="300" spans="10:10" ht="15.75" customHeight="1" x14ac:dyDescent="0.25">
      <c r="J300" s="40"/>
    </row>
    <row r="301" spans="10:10" ht="15.75" customHeight="1" x14ac:dyDescent="0.25">
      <c r="J301" s="40"/>
    </row>
    <row r="302" spans="10:10" ht="15.75" customHeight="1" x14ac:dyDescent="0.25">
      <c r="J302" s="40"/>
    </row>
    <row r="303" spans="10:10" ht="15.75" customHeight="1" x14ac:dyDescent="0.25">
      <c r="J303" s="40"/>
    </row>
    <row r="304" spans="10:10" ht="15.75" customHeight="1" x14ac:dyDescent="0.25">
      <c r="J304" s="40"/>
    </row>
    <row r="305" spans="10:10" ht="15.75" customHeight="1" x14ac:dyDescent="0.25">
      <c r="J305" s="40"/>
    </row>
    <row r="306" spans="10:10" ht="15.75" customHeight="1" x14ac:dyDescent="0.25">
      <c r="J306" s="40"/>
    </row>
    <row r="307" spans="10:10" ht="15.75" customHeight="1" x14ac:dyDescent="0.25">
      <c r="J307" s="40"/>
    </row>
    <row r="308" spans="10:10" ht="15.75" customHeight="1" x14ac:dyDescent="0.25">
      <c r="J308" s="40"/>
    </row>
    <row r="309" spans="10:10" ht="15.75" customHeight="1" x14ac:dyDescent="0.25">
      <c r="J309" s="40"/>
    </row>
    <row r="310" spans="10:10" ht="15.75" customHeight="1" x14ac:dyDescent="0.25">
      <c r="J310" s="40"/>
    </row>
    <row r="311" spans="10:10" ht="15.75" customHeight="1" x14ac:dyDescent="0.25">
      <c r="J311" s="40"/>
    </row>
    <row r="312" spans="10:10" ht="15.75" customHeight="1" x14ac:dyDescent="0.25">
      <c r="J312" s="40"/>
    </row>
    <row r="313" spans="10:10" ht="15.75" customHeight="1" x14ac:dyDescent="0.25">
      <c r="J313" s="40"/>
    </row>
    <row r="314" spans="10:10" ht="15.75" customHeight="1" x14ac:dyDescent="0.25">
      <c r="J314" s="40"/>
    </row>
    <row r="315" spans="10:10" ht="15.75" customHeight="1" x14ac:dyDescent="0.25">
      <c r="J315" s="40"/>
    </row>
    <row r="316" spans="10:10" ht="15.75" customHeight="1" x14ac:dyDescent="0.25">
      <c r="J316" s="40"/>
    </row>
    <row r="317" spans="10:10" ht="15.75" customHeight="1" x14ac:dyDescent="0.25">
      <c r="J317" s="40"/>
    </row>
    <row r="318" spans="10:10" ht="15.75" customHeight="1" x14ac:dyDescent="0.25">
      <c r="J318" s="40"/>
    </row>
    <row r="319" spans="10:10" ht="15.75" customHeight="1" x14ac:dyDescent="0.25">
      <c r="J319" s="40"/>
    </row>
    <row r="320" spans="10:10" ht="15.75" customHeight="1" x14ac:dyDescent="0.25">
      <c r="J320" s="40"/>
    </row>
    <row r="321" spans="10:10" ht="15.75" customHeight="1" x14ac:dyDescent="0.25">
      <c r="J321" s="40"/>
    </row>
    <row r="322" spans="10:10" ht="15.75" customHeight="1" x14ac:dyDescent="0.25">
      <c r="J322" s="40"/>
    </row>
    <row r="323" spans="10:10" ht="15.75" customHeight="1" x14ac:dyDescent="0.25">
      <c r="J323" s="40"/>
    </row>
    <row r="324" spans="10:10" ht="15.75" customHeight="1" x14ac:dyDescent="0.25">
      <c r="J324" s="40"/>
    </row>
    <row r="325" spans="10:10" ht="15.75" customHeight="1" x14ac:dyDescent="0.25">
      <c r="J325" s="40"/>
    </row>
    <row r="326" spans="10:10" ht="15.75" customHeight="1" x14ac:dyDescent="0.25">
      <c r="J326" s="40"/>
    </row>
    <row r="327" spans="10:10" ht="15.75" customHeight="1" x14ac:dyDescent="0.25">
      <c r="J327" s="40"/>
    </row>
    <row r="328" spans="10:10" ht="15.75" customHeight="1" x14ac:dyDescent="0.25">
      <c r="J328" s="40"/>
    </row>
    <row r="329" spans="10:10" ht="15.75" customHeight="1" x14ac:dyDescent="0.25">
      <c r="J329" s="40"/>
    </row>
    <row r="330" spans="10:10" ht="15.75" customHeight="1" x14ac:dyDescent="0.25">
      <c r="J330" s="40"/>
    </row>
    <row r="331" spans="10:10" ht="15.75" customHeight="1" x14ac:dyDescent="0.25">
      <c r="J331" s="40"/>
    </row>
    <row r="332" spans="10:10" ht="15.75" customHeight="1" x14ac:dyDescent="0.25">
      <c r="J332" s="40"/>
    </row>
    <row r="333" spans="10:10" ht="15.75" customHeight="1" x14ac:dyDescent="0.25">
      <c r="J333" s="40"/>
    </row>
    <row r="334" spans="10:10" ht="15.75" customHeight="1" x14ac:dyDescent="0.25">
      <c r="J334" s="40"/>
    </row>
    <row r="335" spans="10:10" ht="15.75" customHeight="1" x14ac:dyDescent="0.25">
      <c r="J335" s="40"/>
    </row>
    <row r="336" spans="10:10" ht="15.75" customHeight="1" x14ac:dyDescent="0.25">
      <c r="J336" s="40"/>
    </row>
    <row r="337" spans="10:10" ht="15.75" customHeight="1" x14ac:dyDescent="0.25">
      <c r="J337" s="40"/>
    </row>
    <row r="338" spans="10:10" ht="15.75" customHeight="1" x14ac:dyDescent="0.25">
      <c r="J338" s="40"/>
    </row>
    <row r="339" spans="10:10" ht="15.75" customHeight="1" x14ac:dyDescent="0.25">
      <c r="J339" s="40"/>
    </row>
    <row r="340" spans="10:10" ht="15.75" customHeight="1" x14ac:dyDescent="0.25">
      <c r="J340" s="40"/>
    </row>
    <row r="341" spans="10:10" ht="15.75" customHeight="1" x14ac:dyDescent="0.25">
      <c r="J341" s="40"/>
    </row>
    <row r="342" spans="10:10" ht="15.75" customHeight="1" x14ac:dyDescent="0.25">
      <c r="J342" s="40"/>
    </row>
    <row r="343" spans="10:10" ht="15.75" customHeight="1" x14ac:dyDescent="0.25">
      <c r="J343" s="40"/>
    </row>
    <row r="344" spans="10:10" ht="15.75" customHeight="1" x14ac:dyDescent="0.25">
      <c r="J344" s="40"/>
    </row>
    <row r="345" spans="10:10" ht="15.75" customHeight="1" x14ac:dyDescent="0.25">
      <c r="J345" s="40"/>
    </row>
    <row r="346" spans="10:10" ht="15.75" customHeight="1" x14ac:dyDescent="0.25">
      <c r="J346" s="40"/>
    </row>
    <row r="347" spans="10:10" ht="15.75" customHeight="1" x14ac:dyDescent="0.25">
      <c r="J347" s="40"/>
    </row>
    <row r="348" spans="10:10" ht="15.75" customHeight="1" x14ac:dyDescent="0.25">
      <c r="J348" s="40"/>
    </row>
    <row r="349" spans="10:10" ht="15.75" customHeight="1" x14ac:dyDescent="0.25">
      <c r="J349" s="40"/>
    </row>
    <row r="350" spans="10:10" ht="15.75" customHeight="1" x14ac:dyDescent="0.25">
      <c r="J350" s="40"/>
    </row>
    <row r="351" spans="10:10" ht="15.75" customHeight="1" x14ac:dyDescent="0.25">
      <c r="J351" s="40"/>
    </row>
    <row r="352" spans="10:10" ht="15.75" customHeight="1" x14ac:dyDescent="0.25">
      <c r="J352" s="40"/>
    </row>
    <row r="353" spans="10:10" ht="15.75" customHeight="1" x14ac:dyDescent="0.25">
      <c r="J353" s="40"/>
    </row>
    <row r="354" spans="10:10" ht="15.75" customHeight="1" x14ac:dyDescent="0.25">
      <c r="J354" s="40"/>
    </row>
    <row r="355" spans="10:10" ht="15.75" customHeight="1" x14ac:dyDescent="0.25">
      <c r="J355" s="40"/>
    </row>
    <row r="356" spans="10:10" ht="15.75" customHeight="1" x14ac:dyDescent="0.25">
      <c r="J356" s="40"/>
    </row>
    <row r="357" spans="10:10" ht="15.75" customHeight="1" x14ac:dyDescent="0.25">
      <c r="J357" s="40"/>
    </row>
    <row r="358" spans="10:10" ht="15.75" customHeight="1" x14ac:dyDescent="0.25">
      <c r="J358" s="40"/>
    </row>
    <row r="359" spans="10:10" ht="15.75" customHeight="1" x14ac:dyDescent="0.25">
      <c r="J359" s="40"/>
    </row>
    <row r="360" spans="10:10" ht="15.75" customHeight="1" x14ac:dyDescent="0.25">
      <c r="J360" s="40"/>
    </row>
    <row r="361" spans="10:10" ht="15.75" customHeight="1" x14ac:dyDescent="0.25">
      <c r="J361" s="40"/>
    </row>
    <row r="362" spans="10:10" ht="15.75" customHeight="1" x14ac:dyDescent="0.25">
      <c r="J362" s="40"/>
    </row>
    <row r="363" spans="10:10" ht="15.75" customHeight="1" x14ac:dyDescent="0.25">
      <c r="J363" s="40"/>
    </row>
    <row r="364" spans="10:10" ht="15.75" customHeight="1" x14ac:dyDescent="0.25">
      <c r="J364" s="40"/>
    </row>
    <row r="365" spans="10:10" ht="15.75" customHeight="1" x14ac:dyDescent="0.25">
      <c r="J365" s="40"/>
    </row>
    <row r="366" spans="10:10" ht="15.75" customHeight="1" x14ac:dyDescent="0.25">
      <c r="J366" s="40"/>
    </row>
    <row r="367" spans="10:10" ht="15.75" customHeight="1" x14ac:dyDescent="0.25">
      <c r="J367" s="40"/>
    </row>
    <row r="368" spans="10:10" ht="15.75" customHeight="1" x14ac:dyDescent="0.25">
      <c r="J368" s="40"/>
    </row>
    <row r="369" spans="10:10" ht="15.75" customHeight="1" x14ac:dyDescent="0.25">
      <c r="J369" s="40"/>
    </row>
    <row r="370" spans="10:10" ht="15.75" customHeight="1" x14ac:dyDescent="0.25">
      <c r="J370" s="40"/>
    </row>
    <row r="371" spans="10:10" ht="15.75" customHeight="1" x14ac:dyDescent="0.25">
      <c r="J371" s="40"/>
    </row>
    <row r="372" spans="10:10" ht="15.75" customHeight="1" x14ac:dyDescent="0.25">
      <c r="J372" s="40"/>
    </row>
    <row r="373" spans="10:10" ht="15.75" customHeight="1" x14ac:dyDescent="0.25">
      <c r="J373" s="40"/>
    </row>
    <row r="374" spans="10:10" ht="15.75" customHeight="1" x14ac:dyDescent="0.25">
      <c r="J374" s="40"/>
    </row>
    <row r="375" spans="10:10" ht="15.75" customHeight="1" x14ac:dyDescent="0.25">
      <c r="J375" s="40"/>
    </row>
    <row r="376" spans="10:10" ht="15.75" customHeight="1" x14ac:dyDescent="0.25">
      <c r="J376" s="40"/>
    </row>
    <row r="377" spans="10:10" ht="15.75" customHeight="1" x14ac:dyDescent="0.25">
      <c r="J377" s="40"/>
    </row>
    <row r="378" spans="10:10" ht="15.75" customHeight="1" x14ac:dyDescent="0.25">
      <c r="J378" s="40"/>
    </row>
    <row r="379" spans="10:10" ht="15.75" customHeight="1" x14ac:dyDescent="0.25">
      <c r="J379" s="40"/>
    </row>
    <row r="380" spans="10:10" ht="15.75" customHeight="1" x14ac:dyDescent="0.25">
      <c r="J380" s="40"/>
    </row>
    <row r="381" spans="10:10" ht="15.75" customHeight="1" x14ac:dyDescent="0.25">
      <c r="J381" s="40"/>
    </row>
    <row r="382" spans="10:10" ht="15.75" customHeight="1" x14ac:dyDescent="0.25">
      <c r="J382" s="40"/>
    </row>
    <row r="383" spans="10:10" ht="15.75" customHeight="1" x14ac:dyDescent="0.25">
      <c r="J383" s="40"/>
    </row>
    <row r="384" spans="10:10" ht="15.75" customHeight="1" x14ac:dyDescent="0.25">
      <c r="J384" s="40"/>
    </row>
    <row r="385" spans="10:10" ht="15.75" customHeight="1" x14ac:dyDescent="0.25">
      <c r="J385" s="40"/>
    </row>
    <row r="386" spans="10:10" ht="15.75" customHeight="1" x14ac:dyDescent="0.25">
      <c r="J386" s="40"/>
    </row>
    <row r="387" spans="10:10" ht="15.75" customHeight="1" x14ac:dyDescent="0.25">
      <c r="J387" s="40"/>
    </row>
    <row r="388" spans="10:10" ht="15.75" customHeight="1" x14ac:dyDescent="0.25">
      <c r="J388" s="40"/>
    </row>
    <row r="389" spans="10:10" ht="15.75" customHeight="1" x14ac:dyDescent="0.25">
      <c r="J389" s="40"/>
    </row>
    <row r="390" spans="10:10" ht="15.75" customHeight="1" x14ac:dyDescent="0.25">
      <c r="J390" s="40"/>
    </row>
    <row r="391" spans="10:10" ht="15.75" customHeight="1" x14ac:dyDescent="0.25">
      <c r="J391" s="40"/>
    </row>
    <row r="392" spans="10:10" ht="15.75" customHeight="1" x14ac:dyDescent="0.25">
      <c r="J392" s="40"/>
    </row>
    <row r="393" spans="10:10" ht="15.75" customHeight="1" x14ac:dyDescent="0.25">
      <c r="J393" s="40"/>
    </row>
    <row r="394" spans="10:10" ht="15.75" customHeight="1" x14ac:dyDescent="0.25">
      <c r="J394" s="40"/>
    </row>
    <row r="395" spans="10:10" ht="15.75" customHeight="1" x14ac:dyDescent="0.25">
      <c r="J395" s="40"/>
    </row>
    <row r="396" spans="10:10" ht="15.75" customHeight="1" x14ac:dyDescent="0.25">
      <c r="J396" s="40"/>
    </row>
    <row r="397" spans="10:10" ht="15.75" customHeight="1" x14ac:dyDescent="0.25">
      <c r="J397" s="40"/>
    </row>
    <row r="398" spans="10:10" ht="15.75" customHeight="1" x14ac:dyDescent="0.25">
      <c r="J398" s="40"/>
    </row>
    <row r="399" spans="10:10" ht="15.75" customHeight="1" x14ac:dyDescent="0.25">
      <c r="J399" s="40"/>
    </row>
    <row r="400" spans="10:10" ht="15.75" customHeight="1" x14ac:dyDescent="0.25">
      <c r="J400" s="40"/>
    </row>
    <row r="401" spans="10:10" ht="15.75" customHeight="1" x14ac:dyDescent="0.25">
      <c r="J401" s="40"/>
    </row>
    <row r="402" spans="10:10" ht="15.75" customHeight="1" x14ac:dyDescent="0.25">
      <c r="J402" s="40"/>
    </row>
    <row r="403" spans="10:10" ht="15.75" customHeight="1" x14ac:dyDescent="0.25">
      <c r="J403" s="40"/>
    </row>
    <row r="404" spans="10:10" ht="15.75" customHeight="1" x14ac:dyDescent="0.25">
      <c r="J404" s="40"/>
    </row>
    <row r="405" spans="10:10" ht="15.75" customHeight="1" x14ac:dyDescent="0.25">
      <c r="J405" s="40"/>
    </row>
    <row r="406" spans="10:10" ht="15.75" customHeight="1" x14ac:dyDescent="0.25">
      <c r="J406" s="40"/>
    </row>
    <row r="407" spans="10:10" ht="15.75" customHeight="1" x14ac:dyDescent="0.25">
      <c r="J407" s="40"/>
    </row>
    <row r="408" spans="10:10" ht="15.75" customHeight="1" x14ac:dyDescent="0.25">
      <c r="J408" s="40"/>
    </row>
    <row r="409" spans="10:10" ht="15.75" customHeight="1" x14ac:dyDescent="0.25">
      <c r="J409" s="40"/>
    </row>
    <row r="410" spans="10:10" ht="15.75" customHeight="1" x14ac:dyDescent="0.25">
      <c r="J410" s="40"/>
    </row>
    <row r="411" spans="10:10" ht="15.75" customHeight="1" x14ac:dyDescent="0.25">
      <c r="J411" s="40"/>
    </row>
    <row r="412" spans="10:10" ht="15.75" customHeight="1" x14ac:dyDescent="0.25">
      <c r="J412" s="40"/>
    </row>
    <row r="413" spans="10:10" ht="15.75" customHeight="1" x14ac:dyDescent="0.25">
      <c r="J413" s="40"/>
    </row>
    <row r="414" spans="10:10" ht="15.75" customHeight="1" x14ac:dyDescent="0.25">
      <c r="J414" s="40"/>
    </row>
    <row r="415" spans="10:10" ht="15.75" customHeight="1" x14ac:dyDescent="0.25">
      <c r="J415" s="40"/>
    </row>
    <row r="416" spans="10:10" ht="15.75" customHeight="1" x14ac:dyDescent="0.25">
      <c r="J416" s="40"/>
    </row>
    <row r="417" spans="10:10" ht="15.75" customHeight="1" x14ac:dyDescent="0.25">
      <c r="J417" s="40"/>
    </row>
    <row r="418" spans="10:10" ht="15.75" customHeight="1" x14ac:dyDescent="0.25">
      <c r="J418" s="40"/>
    </row>
    <row r="419" spans="10:10" ht="15.75" customHeight="1" x14ac:dyDescent="0.25">
      <c r="J419" s="40"/>
    </row>
    <row r="420" spans="10:10" ht="15.75" customHeight="1" x14ac:dyDescent="0.25">
      <c r="J420" s="40"/>
    </row>
    <row r="421" spans="10:10" ht="15.75" customHeight="1" x14ac:dyDescent="0.25">
      <c r="J421" s="40"/>
    </row>
    <row r="422" spans="10:10" ht="15.75" customHeight="1" x14ac:dyDescent="0.25">
      <c r="J422" s="40"/>
    </row>
    <row r="423" spans="10:10" ht="15.75" customHeight="1" x14ac:dyDescent="0.25">
      <c r="J423" s="40"/>
    </row>
    <row r="424" spans="10:10" ht="15.75" customHeight="1" x14ac:dyDescent="0.25">
      <c r="J424" s="40"/>
    </row>
    <row r="425" spans="10:10" ht="15.75" customHeight="1" x14ac:dyDescent="0.25">
      <c r="J425" s="40"/>
    </row>
    <row r="426" spans="10:10" ht="15.75" customHeight="1" x14ac:dyDescent="0.25">
      <c r="J426" s="40"/>
    </row>
    <row r="427" spans="10:10" ht="15.75" customHeight="1" x14ac:dyDescent="0.25">
      <c r="J427" s="40"/>
    </row>
    <row r="428" spans="10:10" ht="15.75" customHeight="1" x14ac:dyDescent="0.25">
      <c r="J428" s="40"/>
    </row>
    <row r="429" spans="10:10" ht="15.75" customHeight="1" x14ac:dyDescent="0.25">
      <c r="J429" s="40"/>
    </row>
    <row r="430" spans="10:10" ht="15.75" customHeight="1" x14ac:dyDescent="0.25">
      <c r="J430" s="40"/>
    </row>
    <row r="431" spans="10:10" ht="15.75" customHeight="1" x14ac:dyDescent="0.25">
      <c r="J431" s="40"/>
    </row>
    <row r="432" spans="10:10" ht="15.75" customHeight="1" x14ac:dyDescent="0.25">
      <c r="J432" s="40"/>
    </row>
    <row r="433" spans="10:10" ht="15.75" customHeight="1" x14ac:dyDescent="0.25">
      <c r="J433" s="40"/>
    </row>
    <row r="434" spans="10:10" ht="15.75" customHeight="1" x14ac:dyDescent="0.25">
      <c r="J434" s="40"/>
    </row>
    <row r="435" spans="10:10" ht="15.75" customHeight="1" x14ac:dyDescent="0.25">
      <c r="J435" s="40"/>
    </row>
    <row r="436" spans="10:10" ht="15.75" customHeight="1" x14ac:dyDescent="0.25">
      <c r="J436" s="40"/>
    </row>
    <row r="437" spans="10:10" ht="15.75" customHeight="1" x14ac:dyDescent="0.25">
      <c r="J437" s="40"/>
    </row>
    <row r="438" spans="10:10" ht="15.75" customHeight="1" x14ac:dyDescent="0.25">
      <c r="J438" s="40"/>
    </row>
    <row r="439" spans="10:10" ht="15.75" customHeight="1" x14ac:dyDescent="0.25">
      <c r="J439" s="40"/>
    </row>
    <row r="440" spans="10:10" ht="15.75" customHeight="1" x14ac:dyDescent="0.25">
      <c r="J440" s="40"/>
    </row>
    <row r="441" spans="10:10" ht="15.75" customHeight="1" x14ac:dyDescent="0.25">
      <c r="J441" s="40"/>
    </row>
    <row r="442" spans="10:10" ht="15.75" customHeight="1" x14ac:dyDescent="0.25">
      <c r="J442" s="40"/>
    </row>
    <row r="443" spans="10:10" ht="15.75" customHeight="1" x14ac:dyDescent="0.25">
      <c r="J443" s="40"/>
    </row>
    <row r="444" spans="10:10" ht="15.75" customHeight="1" x14ac:dyDescent="0.25">
      <c r="J444" s="40"/>
    </row>
    <row r="445" spans="10:10" ht="15.75" customHeight="1" x14ac:dyDescent="0.25">
      <c r="J445" s="40"/>
    </row>
    <row r="446" spans="10:10" ht="15.75" customHeight="1" x14ac:dyDescent="0.25">
      <c r="J446" s="40"/>
    </row>
    <row r="447" spans="10:10" ht="15.75" customHeight="1" x14ac:dyDescent="0.25">
      <c r="J447" s="40"/>
    </row>
    <row r="448" spans="10:10" ht="15.75" customHeight="1" x14ac:dyDescent="0.25">
      <c r="J448" s="40"/>
    </row>
    <row r="449" spans="10:10" ht="15.75" customHeight="1" x14ac:dyDescent="0.25">
      <c r="J449" s="40"/>
    </row>
    <row r="450" spans="10:10" ht="15.75" customHeight="1" x14ac:dyDescent="0.25">
      <c r="J450" s="40"/>
    </row>
    <row r="451" spans="10:10" ht="15.75" customHeight="1" x14ac:dyDescent="0.25">
      <c r="J451" s="40"/>
    </row>
    <row r="452" spans="10:10" ht="15.75" customHeight="1" x14ac:dyDescent="0.25">
      <c r="J452" s="40"/>
    </row>
    <row r="453" spans="10:10" ht="15.75" customHeight="1" x14ac:dyDescent="0.25">
      <c r="J453" s="40"/>
    </row>
    <row r="454" spans="10:10" ht="15.75" customHeight="1" x14ac:dyDescent="0.25">
      <c r="J454" s="40"/>
    </row>
    <row r="455" spans="10:10" ht="15.75" customHeight="1" x14ac:dyDescent="0.25">
      <c r="J455" s="40"/>
    </row>
    <row r="456" spans="10:10" ht="15.75" customHeight="1" x14ac:dyDescent="0.25">
      <c r="J456" s="40"/>
    </row>
    <row r="457" spans="10:10" ht="15.75" customHeight="1" x14ac:dyDescent="0.25">
      <c r="J457" s="40"/>
    </row>
    <row r="458" spans="10:10" ht="15.75" customHeight="1" x14ac:dyDescent="0.25">
      <c r="J458" s="40"/>
    </row>
    <row r="459" spans="10:10" ht="15.75" customHeight="1" x14ac:dyDescent="0.25">
      <c r="J459" s="40"/>
    </row>
    <row r="460" spans="10:10" ht="15.75" customHeight="1" x14ac:dyDescent="0.25">
      <c r="J460" s="40"/>
    </row>
    <row r="461" spans="10:10" ht="15.75" customHeight="1" x14ac:dyDescent="0.25">
      <c r="J461" s="40"/>
    </row>
    <row r="462" spans="10:10" ht="15.75" customHeight="1" x14ac:dyDescent="0.25">
      <c r="J462" s="40"/>
    </row>
    <row r="463" spans="10:10" ht="15.75" customHeight="1" x14ac:dyDescent="0.25">
      <c r="J463" s="40"/>
    </row>
    <row r="464" spans="10:10" ht="15.75" customHeight="1" x14ac:dyDescent="0.25">
      <c r="J464" s="40"/>
    </row>
    <row r="465" spans="10:10" ht="15.75" customHeight="1" x14ac:dyDescent="0.25">
      <c r="J465" s="40"/>
    </row>
    <row r="466" spans="10:10" ht="15.75" customHeight="1" x14ac:dyDescent="0.25">
      <c r="J466" s="40"/>
    </row>
    <row r="467" spans="10:10" ht="15.75" customHeight="1" x14ac:dyDescent="0.25">
      <c r="J467" s="40"/>
    </row>
    <row r="468" spans="10:10" ht="15.75" customHeight="1" x14ac:dyDescent="0.25">
      <c r="J468" s="40"/>
    </row>
    <row r="469" spans="10:10" ht="15.75" customHeight="1" x14ac:dyDescent="0.25">
      <c r="J469" s="40"/>
    </row>
    <row r="470" spans="10:10" ht="15.75" customHeight="1" x14ac:dyDescent="0.25">
      <c r="J470" s="40"/>
    </row>
    <row r="471" spans="10:10" ht="15.75" customHeight="1" x14ac:dyDescent="0.25">
      <c r="J471" s="40"/>
    </row>
    <row r="472" spans="10:10" ht="15.75" customHeight="1" x14ac:dyDescent="0.25">
      <c r="J472" s="40"/>
    </row>
    <row r="473" spans="10:10" ht="15.75" customHeight="1" x14ac:dyDescent="0.25">
      <c r="J473" s="40"/>
    </row>
    <row r="474" spans="10:10" ht="15.75" customHeight="1" x14ac:dyDescent="0.25">
      <c r="J474" s="40"/>
    </row>
    <row r="475" spans="10:10" ht="15.75" customHeight="1" x14ac:dyDescent="0.25">
      <c r="J475" s="40"/>
    </row>
    <row r="476" spans="10:10" ht="15.75" customHeight="1" x14ac:dyDescent="0.25">
      <c r="J476" s="40"/>
    </row>
    <row r="477" spans="10:10" ht="15.75" customHeight="1" x14ac:dyDescent="0.25">
      <c r="J477" s="40"/>
    </row>
    <row r="478" spans="10:10" ht="15.75" customHeight="1" x14ac:dyDescent="0.25">
      <c r="J478" s="40"/>
    </row>
    <row r="479" spans="10:10" ht="15.75" customHeight="1" x14ac:dyDescent="0.25">
      <c r="J479" s="40"/>
    </row>
    <row r="480" spans="10:10" ht="15.75" customHeight="1" x14ac:dyDescent="0.25">
      <c r="J480" s="40"/>
    </row>
    <row r="481" spans="10:10" ht="15.75" customHeight="1" x14ac:dyDescent="0.25">
      <c r="J481" s="40"/>
    </row>
    <row r="482" spans="10:10" ht="15.75" customHeight="1" x14ac:dyDescent="0.25">
      <c r="J482" s="40"/>
    </row>
    <row r="483" spans="10:10" ht="15.75" customHeight="1" x14ac:dyDescent="0.25">
      <c r="J483" s="40"/>
    </row>
    <row r="484" spans="10:10" ht="15.75" customHeight="1" x14ac:dyDescent="0.25">
      <c r="J484" s="40"/>
    </row>
    <row r="485" spans="10:10" ht="15.75" customHeight="1" x14ac:dyDescent="0.25">
      <c r="J485" s="40"/>
    </row>
    <row r="486" spans="10:10" ht="15.75" customHeight="1" x14ac:dyDescent="0.25">
      <c r="J486" s="40"/>
    </row>
    <row r="487" spans="10:10" ht="15.75" customHeight="1" x14ac:dyDescent="0.25">
      <c r="J487" s="40"/>
    </row>
    <row r="488" spans="10:10" ht="15.75" customHeight="1" x14ac:dyDescent="0.25">
      <c r="J488" s="40"/>
    </row>
    <row r="489" spans="10:10" ht="15.75" customHeight="1" x14ac:dyDescent="0.25">
      <c r="J489" s="40"/>
    </row>
    <row r="490" spans="10:10" ht="15.75" customHeight="1" x14ac:dyDescent="0.25">
      <c r="J490" s="40"/>
    </row>
    <row r="491" spans="10:10" ht="15.75" customHeight="1" x14ac:dyDescent="0.25">
      <c r="J491" s="40"/>
    </row>
    <row r="492" spans="10:10" ht="15.75" customHeight="1" x14ac:dyDescent="0.25">
      <c r="J492" s="40"/>
    </row>
    <row r="493" spans="10:10" ht="15.75" customHeight="1" x14ac:dyDescent="0.25">
      <c r="J493" s="40"/>
    </row>
    <row r="494" spans="10:10" ht="15.75" customHeight="1" x14ac:dyDescent="0.25">
      <c r="J494" s="40"/>
    </row>
    <row r="495" spans="10:10" ht="15.75" customHeight="1" x14ac:dyDescent="0.25">
      <c r="J495" s="40"/>
    </row>
    <row r="496" spans="10:10" ht="15.75" customHeight="1" x14ac:dyDescent="0.25">
      <c r="J496" s="40"/>
    </row>
    <row r="497" spans="10:10" ht="15.75" customHeight="1" x14ac:dyDescent="0.25">
      <c r="J497" s="40"/>
    </row>
    <row r="498" spans="10:10" ht="15.75" customHeight="1" x14ac:dyDescent="0.25">
      <c r="J498" s="40"/>
    </row>
    <row r="499" spans="10:10" ht="15.75" customHeight="1" x14ac:dyDescent="0.25">
      <c r="J499" s="40"/>
    </row>
    <row r="500" spans="10:10" ht="15.75" customHeight="1" x14ac:dyDescent="0.25">
      <c r="J500" s="40"/>
    </row>
    <row r="501" spans="10:10" ht="15.75" customHeight="1" x14ac:dyDescent="0.25">
      <c r="J501" s="40"/>
    </row>
    <row r="502" spans="10:10" ht="15.75" customHeight="1" x14ac:dyDescent="0.25">
      <c r="J502" s="40"/>
    </row>
    <row r="503" spans="10:10" ht="15.75" customHeight="1" x14ac:dyDescent="0.25">
      <c r="J503" s="40"/>
    </row>
    <row r="504" spans="10:10" ht="15.75" customHeight="1" x14ac:dyDescent="0.25">
      <c r="J504" s="40"/>
    </row>
    <row r="505" spans="10:10" ht="15.75" customHeight="1" x14ac:dyDescent="0.25">
      <c r="J505" s="40"/>
    </row>
    <row r="506" spans="10:10" ht="15.75" customHeight="1" x14ac:dyDescent="0.25">
      <c r="J506" s="40"/>
    </row>
    <row r="507" spans="10:10" ht="15.75" customHeight="1" x14ac:dyDescent="0.25">
      <c r="J507" s="40"/>
    </row>
    <row r="508" spans="10:10" ht="15.75" customHeight="1" x14ac:dyDescent="0.25">
      <c r="J508" s="40"/>
    </row>
    <row r="509" spans="10:10" ht="15.75" customHeight="1" x14ac:dyDescent="0.25">
      <c r="J509" s="40"/>
    </row>
    <row r="510" spans="10:10" ht="15.75" customHeight="1" x14ac:dyDescent="0.25">
      <c r="J510" s="40"/>
    </row>
    <row r="511" spans="10:10" ht="15.75" customHeight="1" x14ac:dyDescent="0.25">
      <c r="J511" s="40"/>
    </row>
    <row r="512" spans="10:10" ht="15.75" customHeight="1" x14ac:dyDescent="0.25">
      <c r="J512" s="40"/>
    </row>
    <row r="513" spans="10:10" ht="15.75" customHeight="1" x14ac:dyDescent="0.25">
      <c r="J513" s="40"/>
    </row>
    <row r="514" spans="10:10" ht="15.75" customHeight="1" x14ac:dyDescent="0.25">
      <c r="J514" s="40"/>
    </row>
    <row r="515" spans="10:10" ht="15.75" customHeight="1" x14ac:dyDescent="0.25">
      <c r="J515" s="40"/>
    </row>
    <row r="516" spans="10:10" ht="15.75" customHeight="1" x14ac:dyDescent="0.25">
      <c r="J516" s="40"/>
    </row>
    <row r="517" spans="10:10" ht="15.75" customHeight="1" x14ac:dyDescent="0.25">
      <c r="J517" s="40"/>
    </row>
    <row r="518" spans="10:10" ht="15.75" customHeight="1" x14ac:dyDescent="0.25">
      <c r="J518" s="40"/>
    </row>
    <row r="519" spans="10:10" ht="15.75" customHeight="1" x14ac:dyDescent="0.25">
      <c r="J519" s="40"/>
    </row>
    <row r="520" spans="10:10" ht="15.75" customHeight="1" x14ac:dyDescent="0.25">
      <c r="J520" s="40"/>
    </row>
    <row r="521" spans="10:10" ht="15.75" customHeight="1" x14ac:dyDescent="0.25">
      <c r="J521" s="40"/>
    </row>
    <row r="522" spans="10:10" ht="15.75" customHeight="1" x14ac:dyDescent="0.25">
      <c r="J522" s="40"/>
    </row>
    <row r="523" spans="10:10" ht="15.75" customHeight="1" x14ac:dyDescent="0.25">
      <c r="J523" s="40"/>
    </row>
    <row r="524" spans="10:10" ht="15.75" customHeight="1" x14ac:dyDescent="0.25">
      <c r="J524" s="40"/>
    </row>
    <row r="525" spans="10:10" ht="15.75" customHeight="1" x14ac:dyDescent="0.25">
      <c r="J525" s="40"/>
    </row>
    <row r="526" spans="10:10" ht="15.75" customHeight="1" x14ac:dyDescent="0.25">
      <c r="J526" s="40"/>
    </row>
    <row r="527" spans="10:10" ht="15.75" customHeight="1" x14ac:dyDescent="0.25">
      <c r="J527" s="40"/>
    </row>
    <row r="528" spans="10:10" ht="15.75" customHeight="1" x14ac:dyDescent="0.25">
      <c r="J528" s="40"/>
    </row>
    <row r="529" spans="10:10" ht="15.75" customHeight="1" x14ac:dyDescent="0.25">
      <c r="J529" s="40"/>
    </row>
    <row r="530" spans="10:10" ht="15.75" customHeight="1" x14ac:dyDescent="0.25">
      <c r="J530" s="40"/>
    </row>
    <row r="531" spans="10:10" ht="15.75" customHeight="1" x14ac:dyDescent="0.25">
      <c r="J531" s="40"/>
    </row>
    <row r="532" spans="10:10" ht="15.75" customHeight="1" x14ac:dyDescent="0.25">
      <c r="J532" s="40"/>
    </row>
    <row r="533" spans="10:10" ht="15.75" customHeight="1" x14ac:dyDescent="0.25">
      <c r="J533" s="40"/>
    </row>
    <row r="534" spans="10:10" ht="15.75" customHeight="1" x14ac:dyDescent="0.25">
      <c r="J534" s="40"/>
    </row>
    <row r="535" spans="10:10" ht="15.75" customHeight="1" x14ac:dyDescent="0.25">
      <c r="J535" s="40"/>
    </row>
    <row r="536" spans="10:10" ht="15.75" customHeight="1" x14ac:dyDescent="0.25">
      <c r="J536" s="40"/>
    </row>
    <row r="537" spans="10:10" ht="15.75" customHeight="1" x14ac:dyDescent="0.25">
      <c r="J537" s="40"/>
    </row>
    <row r="538" spans="10:10" ht="15.75" customHeight="1" x14ac:dyDescent="0.25">
      <c r="J538" s="40"/>
    </row>
    <row r="539" spans="10:10" ht="15.75" customHeight="1" x14ac:dyDescent="0.25">
      <c r="J539" s="40"/>
    </row>
    <row r="540" spans="10:10" ht="15.75" customHeight="1" x14ac:dyDescent="0.25">
      <c r="J540" s="40"/>
    </row>
    <row r="541" spans="10:10" ht="15.75" customHeight="1" x14ac:dyDescent="0.25">
      <c r="J541" s="40"/>
    </row>
    <row r="542" spans="10:10" ht="15.75" customHeight="1" x14ac:dyDescent="0.25">
      <c r="J542" s="40"/>
    </row>
    <row r="543" spans="10:10" ht="15.75" customHeight="1" x14ac:dyDescent="0.25">
      <c r="J543" s="40"/>
    </row>
    <row r="544" spans="10:10" ht="15.75" customHeight="1" x14ac:dyDescent="0.25">
      <c r="J544" s="40"/>
    </row>
    <row r="545" spans="10:10" ht="15.75" customHeight="1" x14ac:dyDescent="0.25">
      <c r="J545" s="40"/>
    </row>
    <row r="546" spans="10:10" ht="15.75" customHeight="1" x14ac:dyDescent="0.25">
      <c r="J546" s="40"/>
    </row>
    <row r="547" spans="10:10" ht="15.75" customHeight="1" x14ac:dyDescent="0.25">
      <c r="J547" s="40"/>
    </row>
    <row r="548" spans="10:10" ht="15.75" customHeight="1" x14ac:dyDescent="0.25">
      <c r="J548" s="40"/>
    </row>
    <row r="549" spans="10:10" ht="15.75" customHeight="1" x14ac:dyDescent="0.25">
      <c r="J549" s="40"/>
    </row>
    <row r="550" spans="10:10" ht="15.75" customHeight="1" x14ac:dyDescent="0.25">
      <c r="J550" s="40"/>
    </row>
    <row r="551" spans="10:10" ht="15.75" customHeight="1" x14ac:dyDescent="0.25">
      <c r="J551" s="40"/>
    </row>
    <row r="552" spans="10:10" ht="15.75" customHeight="1" x14ac:dyDescent="0.25">
      <c r="J552" s="40"/>
    </row>
    <row r="553" spans="10:10" ht="15.75" customHeight="1" x14ac:dyDescent="0.25">
      <c r="J553" s="40"/>
    </row>
    <row r="554" spans="10:10" ht="15.75" customHeight="1" x14ac:dyDescent="0.25">
      <c r="J554" s="40"/>
    </row>
    <row r="555" spans="10:10" ht="15.75" customHeight="1" x14ac:dyDescent="0.25">
      <c r="J555" s="40"/>
    </row>
    <row r="556" spans="10:10" ht="15.75" customHeight="1" x14ac:dyDescent="0.25">
      <c r="J556" s="40"/>
    </row>
    <row r="557" spans="10:10" ht="15.75" customHeight="1" x14ac:dyDescent="0.25">
      <c r="J557" s="40"/>
    </row>
    <row r="558" spans="10:10" ht="15.75" customHeight="1" x14ac:dyDescent="0.25">
      <c r="J558" s="40"/>
    </row>
    <row r="559" spans="10:10" ht="15.75" customHeight="1" x14ac:dyDescent="0.25">
      <c r="J559" s="40"/>
    </row>
    <row r="560" spans="10:10" ht="15.75" customHeight="1" x14ac:dyDescent="0.25">
      <c r="J560" s="40"/>
    </row>
    <row r="561" spans="10:10" ht="15.75" customHeight="1" x14ac:dyDescent="0.25">
      <c r="J561" s="40"/>
    </row>
    <row r="562" spans="10:10" ht="15.75" customHeight="1" x14ac:dyDescent="0.25">
      <c r="J562" s="40"/>
    </row>
    <row r="563" spans="10:10" ht="15.75" customHeight="1" x14ac:dyDescent="0.25">
      <c r="J563" s="40"/>
    </row>
    <row r="564" spans="10:10" ht="15.75" customHeight="1" x14ac:dyDescent="0.25">
      <c r="J564" s="40"/>
    </row>
    <row r="565" spans="10:10" ht="15.75" customHeight="1" x14ac:dyDescent="0.25">
      <c r="J565" s="40"/>
    </row>
    <row r="566" spans="10:10" ht="15.75" customHeight="1" x14ac:dyDescent="0.25">
      <c r="J566" s="40"/>
    </row>
    <row r="567" spans="10:10" ht="15.75" customHeight="1" x14ac:dyDescent="0.25">
      <c r="J567" s="40"/>
    </row>
    <row r="568" spans="10:10" ht="15.75" customHeight="1" x14ac:dyDescent="0.25">
      <c r="J568" s="40"/>
    </row>
    <row r="569" spans="10:10" ht="15.75" customHeight="1" x14ac:dyDescent="0.25">
      <c r="J569" s="40"/>
    </row>
    <row r="570" spans="10:10" ht="15.75" customHeight="1" x14ac:dyDescent="0.25">
      <c r="J570" s="40"/>
    </row>
    <row r="571" spans="10:10" ht="15.75" customHeight="1" x14ac:dyDescent="0.25">
      <c r="J571" s="40"/>
    </row>
    <row r="572" spans="10:10" ht="15.75" customHeight="1" x14ac:dyDescent="0.25">
      <c r="J572" s="40"/>
    </row>
    <row r="573" spans="10:10" ht="15.75" customHeight="1" x14ac:dyDescent="0.25">
      <c r="J573" s="40"/>
    </row>
    <row r="574" spans="10:10" ht="15.75" customHeight="1" x14ac:dyDescent="0.25">
      <c r="J574" s="40"/>
    </row>
    <row r="575" spans="10:10" ht="15.75" customHeight="1" x14ac:dyDescent="0.25">
      <c r="J575" s="40"/>
    </row>
    <row r="576" spans="10:10" ht="15.75" customHeight="1" x14ac:dyDescent="0.25">
      <c r="J576" s="40"/>
    </row>
    <row r="577" spans="10:10" ht="15.75" customHeight="1" x14ac:dyDescent="0.25">
      <c r="J577" s="40"/>
    </row>
    <row r="578" spans="10:10" ht="15.75" customHeight="1" x14ac:dyDescent="0.25">
      <c r="J578" s="40"/>
    </row>
    <row r="579" spans="10:10" ht="15.75" customHeight="1" x14ac:dyDescent="0.25">
      <c r="J579" s="40"/>
    </row>
    <row r="580" spans="10:10" ht="15.75" customHeight="1" x14ac:dyDescent="0.25">
      <c r="J580" s="40"/>
    </row>
    <row r="581" spans="10:10" ht="15.75" customHeight="1" x14ac:dyDescent="0.25">
      <c r="J581" s="40"/>
    </row>
    <row r="582" spans="10:10" ht="15.75" customHeight="1" x14ac:dyDescent="0.25">
      <c r="J582" s="40"/>
    </row>
    <row r="583" spans="10:10" ht="15.75" customHeight="1" x14ac:dyDescent="0.25">
      <c r="J583" s="40"/>
    </row>
    <row r="584" spans="10:10" ht="15.75" customHeight="1" x14ac:dyDescent="0.25">
      <c r="J584" s="40"/>
    </row>
    <row r="585" spans="10:10" ht="15.75" customHeight="1" x14ac:dyDescent="0.25">
      <c r="J585" s="40"/>
    </row>
    <row r="586" spans="10:10" ht="15.75" customHeight="1" x14ac:dyDescent="0.25">
      <c r="J586" s="40"/>
    </row>
    <row r="587" spans="10:10" ht="15.75" customHeight="1" x14ac:dyDescent="0.25">
      <c r="J587" s="40"/>
    </row>
    <row r="588" spans="10:10" ht="15.75" customHeight="1" x14ac:dyDescent="0.25">
      <c r="J588" s="40"/>
    </row>
    <row r="589" spans="10:10" ht="15.75" customHeight="1" x14ac:dyDescent="0.25">
      <c r="J589" s="40"/>
    </row>
    <row r="590" spans="10:10" ht="15.75" customHeight="1" x14ac:dyDescent="0.25">
      <c r="J590" s="40"/>
    </row>
    <row r="591" spans="10:10" ht="15.75" customHeight="1" x14ac:dyDescent="0.25">
      <c r="J591" s="40"/>
    </row>
    <row r="592" spans="10:10" ht="15.75" customHeight="1" x14ac:dyDescent="0.25">
      <c r="J592" s="40"/>
    </row>
    <row r="593" spans="10:10" ht="15.75" customHeight="1" x14ac:dyDescent="0.25">
      <c r="J593" s="40"/>
    </row>
    <row r="594" spans="10:10" ht="15.75" customHeight="1" x14ac:dyDescent="0.25">
      <c r="J594" s="40"/>
    </row>
    <row r="595" spans="10:10" ht="15.75" customHeight="1" x14ac:dyDescent="0.25">
      <c r="J595" s="40"/>
    </row>
    <row r="596" spans="10:10" ht="15.75" customHeight="1" x14ac:dyDescent="0.25">
      <c r="J596" s="40"/>
    </row>
    <row r="597" spans="10:10" ht="15.75" customHeight="1" x14ac:dyDescent="0.25">
      <c r="J597" s="40"/>
    </row>
    <row r="598" spans="10:10" ht="15.75" customHeight="1" x14ac:dyDescent="0.25">
      <c r="J598" s="40"/>
    </row>
    <row r="599" spans="10:10" ht="15.75" customHeight="1" x14ac:dyDescent="0.25">
      <c r="J599" s="40"/>
    </row>
    <row r="600" spans="10:10" ht="15.75" customHeight="1" x14ac:dyDescent="0.25">
      <c r="J600" s="40"/>
    </row>
    <row r="601" spans="10:10" ht="15.75" customHeight="1" x14ac:dyDescent="0.25">
      <c r="J601" s="40"/>
    </row>
    <row r="602" spans="10:10" ht="15.75" customHeight="1" x14ac:dyDescent="0.25">
      <c r="J602" s="40"/>
    </row>
    <row r="603" spans="10:10" ht="15.75" customHeight="1" x14ac:dyDescent="0.25">
      <c r="J603" s="40"/>
    </row>
    <row r="604" spans="10:10" ht="15.75" customHeight="1" x14ac:dyDescent="0.25">
      <c r="J604" s="40"/>
    </row>
    <row r="605" spans="10:10" ht="15.75" customHeight="1" x14ac:dyDescent="0.25">
      <c r="J605" s="40"/>
    </row>
    <row r="606" spans="10:10" ht="15.75" customHeight="1" x14ac:dyDescent="0.25">
      <c r="J606" s="40"/>
    </row>
    <row r="607" spans="10:10" ht="15.75" customHeight="1" x14ac:dyDescent="0.25">
      <c r="J607" s="40"/>
    </row>
    <row r="608" spans="10:10" ht="15.75" customHeight="1" x14ac:dyDescent="0.25">
      <c r="J608" s="40"/>
    </row>
    <row r="609" spans="10:10" ht="15.75" customHeight="1" x14ac:dyDescent="0.25">
      <c r="J609" s="40"/>
    </row>
    <row r="610" spans="10:10" ht="15.75" customHeight="1" x14ac:dyDescent="0.25">
      <c r="J610" s="40"/>
    </row>
    <row r="611" spans="10:10" ht="15.75" customHeight="1" x14ac:dyDescent="0.25">
      <c r="J611" s="40"/>
    </row>
    <row r="612" spans="10:10" ht="15.75" customHeight="1" x14ac:dyDescent="0.25">
      <c r="J612" s="40"/>
    </row>
    <row r="613" spans="10:10" ht="15.75" customHeight="1" x14ac:dyDescent="0.25">
      <c r="J613" s="40"/>
    </row>
    <row r="614" spans="10:10" ht="15.75" customHeight="1" x14ac:dyDescent="0.25">
      <c r="J614" s="40"/>
    </row>
    <row r="615" spans="10:10" ht="15.75" customHeight="1" x14ac:dyDescent="0.25">
      <c r="J615" s="40"/>
    </row>
    <row r="616" spans="10:10" ht="15.75" customHeight="1" x14ac:dyDescent="0.25">
      <c r="J616" s="40"/>
    </row>
    <row r="617" spans="10:10" ht="15.75" customHeight="1" x14ac:dyDescent="0.25">
      <c r="J617" s="40"/>
    </row>
    <row r="618" spans="10:10" ht="15.75" customHeight="1" x14ac:dyDescent="0.25">
      <c r="J618" s="40"/>
    </row>
    <row r="619" spans="10:10" ht="15.75" customHeight="1" x14ac:dyDescent="0.25">
      <c r="J619" s="40"/>
    </row>
    <row r="620" spans="10:10" ht="15.75" customHeight="1" x14ac:dyDescent="0.25">
      <c r="J620" s="40"/>
    </row>
    <row r="621" spans="10:10" ht="15.75" customHeight="1" x14ac:dyDescent="0.25">
      <c r="J621" s="40"/>
    </row>
    <row r="622" spans="10:10" ht="15.75" customHeight="1" x14ac:dyDescent="0.25">
      <c r="J622" s="40"/>
    </row>
    <row r="623" spans="10:10" ht="15.75" customHeight="1" x14ac:dyDescent="0.25">
      <c r="J623" s="40"/>
    </row>
    <row r="624" spans="10:10" ht="15.75" customHeight="1" x14ac:dyDescent="0.25">
      <c r="J624" s="40"/>
    </row>
    <row r="625" spans="10:10" ht="15.75" customHeight="1" x14ac:dyDescent="0.25">
      <c r="J625" s="40"/>
    </row>
    <row r="626" spans="10:10" ht="15.75" customHeight="1" x14ac:dyDescent="0.25">
      <c r="J626" s="40"/>
    </row>
    <row r="627" spans="10:10" ht="15.75" customHeight="1" x14ac:dyDescent="0.25">
      <c r="J627" s="40"/>
    </row>
    <row r="628" spans="10:10" ht="15.75" customHeight="1" x14ac:dyDescent="0.25">
      <c r="J628" s="40"/>
    </row>
    <row r="629" spans="10:10" ht="15.75" customHeight="1" x14ac:dyDescent="0.25">
      <c r="J629" s="40"/>
    </row>
    <row r="630" spans="10:10" ht="15.75" customHeight="1" x14ac:dyDescent="0.25">
      <c r="J630" s="40"/>
    </row>
    <row r="631" spans="10:10" ht="15.75" customHeight="1" x14ac:dyDescent="0.25">
      <c r="J631" s="40"/>
    </row>
    <row r="632" spans="10:10" ht="15.75" customHeight="1" x14ac:dyDescent="0.25">
      <c r="J632" s="40"/>
    </row>
    <row r="633" spans="10:10" ht="15.75" customHeight="1" x14ac:dyDescent="0.25">
      <c r="J633" s="40"/>
    </row>
    <row r="634" spans="10:10" ht="15.75" customHeight="1" x14ac:dyDescent="0.25">
      <c r="J634" s="40"/>
    </row>
    <row r="635" spans="10:10" ht="15.75" customHeight="1" x14ac:dyDescent="0.25">
      <c r="J635" s="40"/>
    </row>
    <row r="636" spans="10:10" ht="15.75" customHeight="1" x14ac:dyDescent="0.25">
      <c r="J636" s="40"/>
    </row>
    <row r="637" spans="10:10" ht="15.75" customHeight="1" x14ac:dyDescent="0.25">
      <c r="J637" s="40"/>
    </row>
    <row r="638" spans="10:10" ht="15.75" customHeight="1" x14ac:dyDescent="0.25">
      <c r="J638" s="40"/>
    </row>
    <row r="639" spans="10:10" ht="15.75" customHeight="1" x14ac:dyDescent="0.25">
      <c r="J639" s="40"/>
    </row>
    <row r="640" spans="10:10" ht="15.75" customHeight="1" x14ac:dyDescent="0.25">
      <c r="J640" s="40"/>
    </row>
    <row r="641" spans="10:10" ht="15.75" customHeight="1" x14ac:dyDescent="0.25">
      <c r="J641" s="40"/>
    </row>
    <row r="642" spans="10:10" ht="15.75" customHeight="1" x14ac:dyDescent="0.25">
      <c r="J642" s="40"/>
    </row>
    <row r="643" spans="10:10" ht="15.75" customHeight="1" x14ac:dyDescent="0.25">
      <c r="J643" s="40"/>
    </row>
    <row r="644" spans="10:10" ht="15.75" customHeight="1" x14ac:dyDescent="0.25">
      <c r="J644" s="40"/>
    </row>
    <row r="645" spans="10:10" ht="15.75" customHeight="1" x14ac:dyDescent="0.25">
      <c r="J645" s="40"/>
    </row>
    <row r="646" spans="10:10" ht="15.75" customHeight="1" x14ac:dyDescent="0.25">
      <c r="J646" s="40"/>
    </row>
    <row r="647" spans="10:10" ht="15.75" customHeight="1" x14ac:dyDescent="0.25">
      <c r="J647" s="40"/>
    </row>
    <row r="648" spans="10:10" ht="15.75" customHeight="1" x14ac:dyDescent="0.25">
      <c r="J648" s="40"/>
    </row>
    <row r="649" spans="10:10" ht="15.75" customHeight="1" x14ac:dyDescent="0.25">
      <c r="J649" s="40"/>
    </row>
    <row r="650" spans="10:10" ht="15.75" customHeight="1" x14ac:dyDescent="0.25">
      <c r="J650" s="40"/>
    </row>
    <row r="651" spans="10:10" ht="15.75" customHeight="1" x14ac:dyDescent="0.25">
      <c r="J651" s="40"/>
    </row>
    <row r="652" spans="10:10" ht="15.75" customHeight="1" x14ac:dyDescent="0.25">
      <c r="J652" s="40"/>
    </row>
    <row r="653" spans="10:10" ht="15.75" customHeight="1" x14ac:dyDescent="0.25">
      <c r="J653" s="40"/>
    </row>
    <row r="654" spans="10:10" ht="15.75" customHeight="1" x14ac:dyDescent="0.25">
      <c r="J654" s="40"/>
    </row>
    <row r="655" spans="10:10" ht="15.75" customHeight="1" x14ac:dyDescent="0.25">
      <c r="J655" s="40"/>
    </row>
    <row r="656" spans="10:10" ht="15.75" customHeight="1" x14ac:dyDescent="0.25">
      <c r="J656" s="40"/>
    </row>
    <row r="657" spans="10:10" ht="15.75" customHeight="1" x14ac:dyDescent="0.25">
      <c r="J657" s="40"/>
    </row>
    <row r="658" spans="10:10" ht="15.75" customHeight="1" x14ac:dyDescent="0.25">
      <c r="J658" s="40"/>
    </row>
    <row r="659" spans="10:10" ht="15.75" customHeight="1" x14ac:dyDescent="0.25">
      <c r="J659" s="40"/>
    </row>
    <row r="660" spans="10:10" ht="15.75" customHeight="1" x14ac:dyDescent="0.25">
      <c r="J660" s="40"/>
    </row>
    <row r="661" spans="10:10" ht="15.75" customHeight="1" x14ac:dyDescent="0.25">
      <c r="J661" s="40"/>
    </row>
    <row r="662" spans="10:10" ht="15.75" customHeight="1" x14ac:dyDescent="0.25">
      <c r="J662" s="40"/>
    </row>
    <row r="663" spans="10:10" ht="15.75" customHeight="1" x14ac:dyDescent="0.25">
      <c r="J663" s="40"/>
    </row>
    <row r="664" spans="10:10" ht="15.75" customHeight="1" x14ac:dyDescent="0.25">
      <c r="J664" s="40"/>
    </row>
    <row r="665" spans="10:10" ht="15.75" customHeight="1" x14ac:dyDescent="0.25">
      <c r="J665" s="40"/>
    </row>
    <row r="666" spans="10:10" ht="15.75" customHeight="1" x14ac:dyDescent="0.25">
      <c r="J666" s="40"/>
    </row>
    <row r="667" spans="10:10" ht="15.75" customHeight="1" x14ac:dyDescent="0.25">
      <c r="J667" s="40"/>
    </row>
    <row r="668" spans="10:10" ht="15.75" customHeight="1" x14ac:dyDescent="0.25">
      <c r="J668" s="40"/>
    </row>
    <row r="669" spans="10:10" ht="15.75" customHeight="1" x14ac:dyDescent="0.25">
      <c r="J669" s="40"/>
    </row>
    <row r="670" spans="10:10" ht="15.75" customHeight="1" x14ac:dyDescent="0.25">
      <c r="J670" s="40"/>
    </row>
    <row r="671" spans="10:10" ht="15.75" customHeight="1" x14ac:dyDescent="0.25">
      <c r="J671" s="40"/>
    </row>
    <row r="672" spans="10:10" ht="15.75" customHeight="1" x14ac:dyDescent="0.25">
      <c r="J672" s="40"/>
    </row>
    <row r="673" spans="10:10" ht="15.75" customHeight="1" x14ac:dyDescent="0.25">
      <c r="J673" s="40"/>
    </row>
    <row r="674" spans="10:10" ht="15.75" customHeight="1" x14ac:dyDescent="0.25">
      <c r="J674" s="40"/>
    </row>
    <row r="675" spans="10:10" ht="15.75" customHeight="1" x14ac:dyDescent="0.25">
      <c r="J675" s="40"/>
    </row>
    <row r="676" spans="10:10" ht="15.75" customHeight="1" x14ac:dyDescent="0.25">
      <c r="J676" s="40"/>
    </row>
    <row r="677" spans="10:10" ht="15.75" customHeight="1" x14ac:dyDescent="0.25">
      <c r="J677" s="40"/>
    </row>
    <row r="678" spans="10:10" ht="15.75" customHeight="1" x14ac:dyDescent="0.25">
      <c r="J678" s="40"/>
    </row>
    <row r="679" spans="10:10" ht="15.75" customHeight="1" x14ac:dyDescent="0.25">
      <c r="J679" s="40"/>
    </row>
    <row r="680" spans="10:10" ht="15.75" customHeight="1" x14ac:dyDescent="0.25">
      <c r="J680" s="40"/>
    </row>
    <row r="681" spans="10:10" ht="15.75" customHeight="1" x14ac:dyDescent="0.25">
      <c r="J681" s="40"/>
    </row>
    <row r="682" spans="10:10" ht="15.75" customHeight="1" x14ac:dyDescent="0.25">
      <c r="J682" s="40"/>
    </row>
    <row r="683" spans="10:10" ht="15.75" customHeight="1" x14ac:dyDescent="0.25">
      <c r="J683" s="40"/>
    </row>
    <row r="684" spans="10:10" ht="15.75" customHeight="1" x14ac:dyDescent="0.25">
      <c r="J684" s="40"/>
    </row>
    <row r="685" spans="10:10" ht="15.75" customHeight="1" x14ac:dyDescent="0.25">
      <c r="J685" s="40"/>
    </row>
    <row r="686" spans="10:10" ht="15.75" customHeight="1" x14ac:dyDescent="0.25">
      <c r="J686" s="40"/>
    </row>
    <row r="687" spans="10:10" ht="15.75" customHeight="1" x14ac:dyDescent="0.25">
      <c r="J687" s="40"/>
    </row>
    <row r="688" spans="10:10" ht="15.75" customHeight="1" x14ac:dyDescent="0.25">
      <c r="J688" s="40"/>
    </row>
    <row r="689" spans="10:10" ht="15.75" customHeight="1" x14ac:dyDescent="0.25">
      <c r="J689" s="40"/>
    </row>
    <row r="690" spans="10:10" ht="15.75" customHeight="1" x14ac:dyDescent="0.25">
      <c r="J690" s="40"/>
    </row>
    <row r="691" spans="10:10" ht="15.75" customHeight="1" x14ac:dyDescent="0.25">
      <c r="J691" s="40"/>
    </row>
    <row r="692" spans="10:10" ht="15.75" customHeight="1" x14ac:dyDescent="0.25">
      <c r="J692" s="40"/>
    </row>
    <row r="693" spans="10:10" ht="15.75" customHeight="1" x14ac:dyDescent="0.25">
      <c r="J693" s="40"/>
    </row>
    <row r="694" spans="10:10" ht="15.75" customHeight="1" x14ac:dyDescent="0.25">
      <c r="J694" s="40"/>
    </row>
    <row r="695" spans="10:10" ht="15.75" customHeight="1" x14ac:dyDescent="0.25">
      <c r="J695" s="40"/>
    </row>
    <row r="696" spans="10:10" ht="15.75" customHeight="1" x14ac:dyDescent="0.25">
      <c r="J696" s="40"/>
    </row>
    <row r="697" spans="10:10" ht="15.75" customHeight="1" x14ac:dyDescent="0.25">
      <c r="J697" s="40"/>
    </row>
    <row r="698" spans="10:10" ht="15.75" customHeight="1" x14ac:dyDescent="0.25">
      <c r="J698" s="40"/>
    </row>
    <row r="699" spans="10:10" ht="15.75" customHeight="1" x14ac:dyDescent="0.25">
      <c r="J699" s="40"/>
    </row>
    <row r="700" spans="10:10" ht="15.75" customHeight="1" x14ac:dyDescent="0.25">
      <c r="J700" s="40"/>
    </row>
    <row r="701" spans="10:10" ht="15.75" customHeight="1" x14ac:dyDescent="0.25">
      <c r="J701" s="40"/>
    </row>
    <row r="702" spans="10:10" ht="15.75" customHeight="1" x14ac:dyDescent="0.25">
      <c r="J702" s="40"/>
    </row>
    <row r="703" spans="10:10" ht="15.75" customHeight="1" x14ac:dyDescent="0.25">
      <c r="J703" s="40"/>
    </row>
    <row r="704" spans="10:10" ht="15.75" customHeight="1" x14ac:dyDescent="0.25">
      <c r="J704" s="40"/>
    </row>
    <row r="705" spans="10:10" ht="15.75" customHeight="1" x14ac:dyDescent="0.25">
      <c r="J705" s="40"/>
    </row>
    <row r="706" spans="10:10" ht="15.75" customHeight="1" x14ac:dyDescent="0.25">
      <c r="J706" s="40"/>
    </row>
    <row r="707" spans="10:10" ht="15.75" customHeight="1" x14ac:dyDescent="0.25">
      <c r="J707" s="40"/>
    </row>
    <row r="708" spans="10:10" ht="15.75" customHeight="1" x14ac:dyDescent="0.25">
      <c r="J708" s="40"/>
    </row>
    <row r="709" spans="10:10" ht="15.75" customHeight="1" x14ac:dyDescent="0.25">
      <c r="J709" s="40"/>
    </row>
    <row r="710" spans="10:10" ht="15.75" customHeight="1" x14ac:dyDescent="0.25">
      <c r="J710" s="40"/>
    </row>
    <row r="711" spans="10:10" ht="15.75" customHeight="1" x14ac:dyDescent="0.25">
      <c r="J711" s="40"/>
    </row>
    <row r="712" spans="10:10" ht="15.75" customHeight="1" x14ac:dyDescent="0.25">
      <c r="J712" s="40"/>
    </row>
    <row r="713" spans="10:10" ht="15.75" customHeight="1" x14ac:dyDescent="0.25">
      <c r="J713" s="40"/>
    </row>
    <row r="714" spans="10:10" ht="15.75" customHeight="1" x14ac:dyDescent="0.25">
      <c r="J714" s="40"/>
    </row>
    <row r="715" spans="10:10" ht="15.75" customHeight="1" x14ac:dyDescent="0.25">
      <c r="J715" s="40"/>
    </row>
    <row r="716" spans="10:10" ht="15.75" customHeight="1" x14ac:dyDescent="0.25">
      <c r="J716" s="40"/>
    </row>
    <row r="717" spans="10:10" ht="15.75" customHeight="1" x14ac:dyDescent="0.25">
      <c r="J717" s="40"/>
    </row>
    <row r="718" spans="10:10" ht="15.75" customHeight="1" x14ac:dyDescent="0.25">
      <c r="J718" s="40"/>
    </row>
    <row r="719" spans="10:10" ht="15.75" customHeight="1" x14ac:dyDescent="0.25">
      <c r="J719" s="40"/>
    </row>
    <row r="720" spans="10:10" ht="15.75" customHeight="1" x14ac:dyDescent="0.25">
      <c r="J720" s="40"/>
    </row>
    <row r="721" spans="10:10" ht="15.75" customHeight="1" x14ac:dyDescent="0.25">
      <c r="J721" s="40"/>
    </row>
    <row r="722" spans="10:10" ht="15.75" customHeight="1" x14ac:dyDescent="0.25">
      <c r="J722" s="40"/>
    </row>
    <row r="723" spans="10:10" ht="15.75" customHeight="1" x14ac:dyDescent="0.25">
      <c r="J723" s="40"/>
    </row>
    <row r="724" spans="10:10" ht="15.75" customHeight="1" x14ac:dyDescent="0.25">
      <c r="J724" s="40"/>
    </row>
    <row r="725" spans="10:10" ht="15.75" customHeight="1" x14ac:dyDescent="0.25">
      <c r="J725" s="40"/>
    </row>
    <row r="726" spans="10:10" ht="15.75" customHeight="1" x14ac:dyDescent="0.25">
      <c r="J726" s="40"/>
    </row>
    <row r="727" spans="10:10" ht="15.75" customHeight="1" x14ac:dyDescent="0.25">
      <c r="J727" s="40"/>
    </row>
    <row r="728" spans="10:10" ht="15.75" customHeight="1" x14ac:dyDescent="0.25">
      <c r="J728" s="40"/>
    </row>
    <row r="729" spans="10:10" ht="15.75" customHeight="1" x14ac:dyDescent="0.25">
      <c r="J729" s="40"/>
    </row>
    <row r="730" spans="10:10" ht="15.75" customHeight="1" x14ac:dyDescent="0.25">
      <c r="J730" s="40"/>
    </row>
    <row r="731" spans="10:10" ht="15.75" customHeight="1" x14ac:dyDescent="0.25">
      <c r="J731" s="40"/>
    </row>
    <row r="732" spans="10:10" ht="15.75" customHeight="1" x14ac:dyDescent="0.25">
      <c r="J732" s="40"/>
    </row>
    <row r="733" spans="10:10" ht="15.75" customHeight="1" x14ac:dyDescent="0.25">
      <c r="J733" s="40"/>
    </row>
    <row r="734" spans="10:10" ht="15.75" customHeight="1" x14ac:dyDescent="0.25">
      <c r="J734" s="40"/>
    </row>
    <row r="735" spans="10:10" ht="15.75" customHeight="1" x14ac:dyDescent="0.25">
      <c r="J735" s="40"/>
    </row>
    <row r="736" spans="10:10" ht="15.75" customHeight="1" x14ac:dyDescent="0.25">
      <c r="J736" s="40"/>
    </row>
    <row r="737" spans="10:10" ht="15.75" customHeight="1" x14ac:dyDescent="0.25">
      <c r="J737" s="40"/>
    </row>
    <row r="738" spans="10:10" ht="15.75" customHeight="1" x14ac:dyDescent="0.25">
      <c r="J738" s="40"/>
    </row>
    <row r="739" spans="10:10" ht="15.75" customHeight="1" x14ac:dyDescent="0.25">
      <c r="J739" s="40"/>
    </row>
    <row r="740" spans="10:10" ht="15.75" customHeight="1" x14ac:dyDescent="0.25">
      <c r="J740" s="40"/>
    </row>
    <row r="741" spans="10:10" ht="15.75" customHeight="1" x14ac:dyDescent="0.25">
      <c r="J741" s="40"/>
    </row>
    <row r="742" spans="10:10" ht="15.75" customHeight="1" x14ac:dyDescent="0.25">
      <c r="J742" s="40"/>
    </row>
    <row r="743" spans="10:10" ht="15.75" customHeight="1" x14ac:dyDescent="0.25">
      <c r="J743" s="40"/>
    </row>
    <row r="744" spans="10:10" ht="15.75" customHeight="1" x14ac:dyDescent="0.25">
      <c r="J744" s="40"/>
    </row>
    <row r="745" spans="10:10" ht="15.75" customHeight="1" x14ac:dyDescent="0.25">
      <c r="J745" s="40"/>
    </row>
    <row r="746" spans="10:10" ht="15.75" customHeight="1" x14ac:dyDescent="0.25">
      <c r="J746" s="40"/>
    </row>
    <row r="747" spans="10:10" ht="15.75" customHeight="1" x14ac:dyDescent="0.25">
      <c r="J747" s="40"/>
    </row>
    <row r="748" spans="10:10" ht="15.75" customHeight="1" x14ac:dyDescent="0.25">
      <c r="J748" s="40"/>
    </row>
    <row r="749" spans="10:10" ht="15.75" customHeight="1" x14ac:dyDescent="0.25">
      <c r="J749" s="40"/>
    </row>
    <row r="750" spans="10:10" ht="15.75" customHeight="1" x14ac:dyDescent="0.25">
      <c r="J750" s="40"/>
    </row>
    <row r="751" spans="10:10" ht="15.75" customHeight="1" x14ac:dyDescent="0.25">
      <c r="J751" s="40"/>
    </row>
    <row r="752" spans="10:10" ht="15.75" customHeight="1" x14ac:dyDescent="0.25">
      <c r="J752" s="40"/>
    </row>
    <row r="753" spans="10:10" ht="15.75" customHeight="1" x14ac:dyDescent="0.25">
      <c r="J753" s="40"/>
    </row>
    <row r="754" spans="10:10" ht="15.75" customHeight="1" x14ac:dyDescent="0.25">
      <c r="J754" s="40"/>
    </row>
    <row r="755" spans="10:10" ht="15.75" customHeight="1" x14ac:dyDescent="0.25">
      <c r="J755" s="40"/>
    </row>
    <row r="756" spans="10:10" ht="15.75" customHeight="1" x14ac:dyDescent="0.25">
      <c r="J756" s="40"/>
    </row>
    <row r="757" spans="10:10" ht="15.75" customHeight="1" x14ac:dyDescent="0.25">
      <c r="J757" s="40"/>
    </row>
    <row r="758" spans="10:10" ht="15.75" customHeight="1" x14ac:dyDescent="0.25">
      <c r="J758" s="40"/>
    </row>
    <row r="759" spans="10:10" ht="15.75" customHeight="1" x14ac:dyDescent="0.25">
      <c r="J759" s="40"/>
    </row>
    <row r="760" spans="10:10" ht="15.75" customHeight="1" x14ac:dyDescent="0.25">
      <c r="J760" s="40"/>
    </row>
    <row r="761" spans="10:10" ht="15.75" customHeight="1" x14ac:dyDescent="0.25">
      <c r="J761" s="40"/>
    </row>
    <row r="762" spans="10:10" ht="15.75" customHeight="1" x14ac:dyDescent="0.25">
      <c r="J762" s="40"/>
    </row>
    <row r="763" spans="10:10" ht="15.75" customHeight="1" x14ac:dyDescent="0.25">
      <c r="J763" s="40"/>
    </row>
    <row r="764" spans="10:10" ht="15.75" customHeight="1" x14ac:dyDescent="0.25">
      <c r="J764" s="40"/>
    </row>
    <row r="765" spans="10:10" ht="15.75" customHeight="1" x14ac:dyDescent="0.25">
      <c r="J765" s="40"/>
    </row>
    <row r="766" spans="10:10" ht="15.75" customHeight="1" x14ac:dyDescent="0.25">
      <c r="J766" s="40"/>
    </row>
    <row r="767" spans="10:10" ht="15.75" customHeight="1" x14ac:dyDescent="0.25">
      <c r="J767" s="40"/>
    </row>
    <row r="768" spans="10:10" ht="15.75" customHeight="1" x14ac:dyDescent="0.25">
      <c r="J768" s="40"/>
    </row>
    <row r="769" spans="10:10" ht="15.75" customHeight="1" x14ac:dyDescent="0.25">
      <c r="J769" s="40"/>
    </row>
    <row r="770" spans="10:10" ht="15.75" customHeight="1" x14ac:dyDescent="0.25">
      <c r="J770" s="40"/>
    </row>
    <row r="771" spans="10:10" ht="15.75" customHeight="1" x14ac:dyDescent="0.25">
      <c r="J771" s="40"/>
    </row>
    <row r="772" spans="10:10" ht="15.75" customHeight="1" x14ac:dyDescent="0.25">
      <c r="J772" s="40"/>
    </row>
    <row r="773" spans="10:10" ht="15.75" customHeight="1" x14ac:dyDescent="0.25">
      <c r="J773" s="40"/>
    </row>
    <row r="774" spans="10:10" ht="15.75" customHeight="1" x14ac:dyDescent="0.25">
      <c r="J774" s="40"/>
    </row>
    <row r="775" spans="10:10" ht="15.75" customHeight="1" x14ac:dyDescent="0.25">
      <c r="J775" s="40"/>
    </row>
    <row r="776" spans="10:10" ht="15.75" customHeight="1" x14ac:dyDescent="0.25">
      <c r="J776" s="40"/>
    </row>
    <row r="777" spans="10:10" ht="15.75" customHeight="1" x14ac:dyDescent="0.25">
      <c r="J777" s="40"/>
    </row>
    <row r="778" spans="10:10" ht="15.75" customHeight="1" x14ac:dyDescent="0.25">
      <c r="J778" s="40"/>
    </row>
    <row r="779" spans="10:10" ht="15.75" customHeight="1" x14ac:dyDescent="0.25">
      <c r="J779" s="40"/>
    </row>
    <row r="780" spans="10:10" ht="15.75" customHeight="1" x14ac:dyDescent="0.25">
      <c r="J780" s="40"/>
    </row>
    <row r="781" spans="10:10" ht="15.75" customHeight="1" x14ac:dyDescent="0.25">
      <c r="J781" s="40"/>
    </row>
    <row r="782" spans="10:10" ht="15.75" customHeight="1" x14ac:dyDescent="0.25">
      <c r="J782" s="40"/>
    </row>
    <row r="783" spans="10:10" ht="15.75" customHeight="1" x14ac:dyDescent="0.25">
      <c r="J783" s="40"/>
    </row>
    <row r="784" spans="10:10" ht="15.75" customHeight="1" x14ac:dyDescent="0.25">
      <c r="J784" s="40"/>
    </row>
    <row r="785" spans="10:10" ht="15.75" customHeight="1" x14ac:dyDescent="0.25">
      <c r="J785" s="40"/>
    </row>
    <row r="786" spans="10:10" ht="15.75" customHeight="1" x14ac:dyDescent="0.25">
      <c r="J786" s="40"/>
    </row>
    <row r="787" spans="10:10" ht="15.75" customHeight="1" x14ac:dyDescent="0.25">
      <c r="J787" s="40"/>
    </row>
    <row r="788" spans="10:10" ht="15.75" customHeight="1" x14ac:dyDescent="0.25">
      <c r="J788" s="40"/>
    </row>
    <row r="789" spans="10:10" ht="15.75" customHeight="1" x14ac:dyDescent="0.25">
      <c r="J789" s="40"/>
    </row>
    <row r="790" spans="10:10" ht="15.75" customHeight="1" x14ac:dyDescent="0.25">
      <c r="J790" s="40"/>
    </row>
    <row r="791" spans="10:10" ht="15.75" customHeight="1" x14ac:dyDescent="0.25">
      <c r="J791" s="40"/>
    </row>
    <row r="792" spans="10:10" ht="15.75" customHeight="1" x14ac:dyDescent="0.25">
      <c r="J792" s="40"/>
    </row>
    <row r="793" spans="10:10" ht="15.75" customHeight="1" x14ac:dyDescent="0.25">
      <c r="J793" s="40"/>
    </row>
    <row r="794" spans="10:10" ht="15.75" customHeight="1" x14ac:dyDescent="0.25">
      <c r="J794" s="40"/>
    </row>
    <row r="795" spans="10:10" ht="15.75" customHeight="1" x14ac:dyDescent="0.25">
      <c r="J795" s="40"/>
    </row>
    <row r="796" spans="10:10" ht="15.75" customHeight="1" x14ac:dyDescent="0.25">
      <c r="J796" s="40"/>
    </row>
    <row r="797" spans="10:10" ht="15.75" customHeight="1" x14ac:dyDescent="0.25">
      <c r="J797" s="40"/>
    </row>
    <row r="798" spans="10:10" ht="15.75" customHeight="1" x14ac:dyDescent="0.25">
      <c r="J798" s="40"/>
    </row>
    <row r="799" spans="10:10" ht="15.75" customHeight="1" x14ac:dyDescent="0.25">
      <c r="J799" s="40"/>
    </row>
    <row r="800" spans="10:10" ht="15.75" customHeight="1" x14ac:dyDescent="0.25">
      <c r="J800" s="40"/>
    </row>
    <row r="801" spans="10:10" ht="15.75" customHeight="1" x14ac:dyDescent="0.25">
      <c r="J801" s="40"/>
    </row>
    <row r="802" spans="10:10" ht="15.75" customHeight="1" x14ac:dyDescent="0.25">
      <c r="J802" s="40"/>
    </row>
    <row r="803" spans="10:10" ht="15.75" customHeight="1" x14ac:dyDescent="0.25">
      <c r="J803" s="40"/>
    </row>
    <row r="804" spans="10:10" ht="15.75" customHeight="1" x14ac:dyDescent="0.25">
      <c r="J804" s="40"/>
    </row>
    <row r="805" spans="10:10" ht="15.75" customHeight="1" x14ac:dyDescent="0.25">
      <c r="J805" s="40"/>
    </row>
    <row r="806" spans="10:10" ht="15.75" customHeight="1" x14ac:dyDescent="0.25">
      <c r="J806" s="40"/>
    </row>
    <row r="807" spans="10:10" ht="15.75" customHeight="1" x14ac:dyDescent="0.25">
      <c r="J807" s="40"/>
    </row>
    <row r="808" spans="10:10" ht="15.75" customHeight="1" x14ac:dyDescent="0.25">
      <c r="J808" s="40"/>
    </row>
    <row r="809" spans="10:10" ht="15.75" customHeight="1" x14ac:dyDescent="0.25">
      <c r="J809" s="40"/>
    </row>
    <row r="810" spans="10:10" ht="15.75" customHeight="1" x14ac:dyDescent="0.25">
      <c r="J810" s="40"/>
    </row>
    <row r="811" spans="10:10" ht="15.75" customHeight="1" x14ac:dyDescent="0.25">
      <c r="J811" s="40"/>
    </row>
    <row r="812" spans="10:10" ht="15.75" customHeight="1" x14ac:dyDescent="0.25">
      <c r="J812" s="40"/>
    </row>
    <row r="813" spans="10:10" ht="15.75" customHeight="1" x14ac:dyDescent="0.25">
      <c r="J813" s="40"/>
    </row>
    <row r="814" spans="10:10" ht="15.75" customHeight="1" x14ac:dyDescent="0.25">
      <c r="J814" s="40"/>
    </row>
    <row r="815" spans="10:10" ht="15.75" customHeight="1" x14ac:dyDescent="0.25">
      <c r="J815" s="40"/>
    </row>
    <row r="816" spans="10:10" ht="15.75" customHeight="1" x14ac:dyDescent="0.25">
      <c r="J816" s="40"/>
    </row>
    <row r="817" spans="10:10" ht="15.75" customHeight="1" x14ac:dyDescent="0.25">
      <c r="J817" s="40"/>
    </row>
    <row r="818" spans="10:10" ht="15.75" customHeight="1" x14ac:dyDescent="0.25">
      <c r="J818" s="40"/>
    </row>
    <row r="819" spans="10:10" ht="15.75" customHeight="1" x14ac:dyDescent="0.25">
      <c r="J819" s="40"/>
    </row>
    <row r="820" spans="10:10" ht="15.75" customHeight="1" x14ac:dyDescent="0.25">
      <c r="J820" s="40"/>
    </row>
    <row r="821" spans="10:10" ht="15.75" customHeight="1" x14ac:dyDescent="0.25">
      <c r="J821" s="40"/>
    </row>
    <row r="822" spans="10:10" ht="15.75" customHeight="1" x14ac:dyDescent="0.25">
      <c r="J822" s="40"/>
    </row>
    <row r="823" spans="10:10" ht="15.75" customHeight="1" x14ac:dyDescent="0.25">
      <c r="J823" s="40"/>
    </row>
    <row r="824" spans="10:10" ht="15.75" customHeight="1" x14ac:dyDescent="0.25">
      <c r="J824" s="40"/>
    </row>
    <row r="825" spans="10:10" ht="15.75" customHeight="1" x14ac:dyDescent="0.25">
      <c r="J825" s="40"/>
    </row>
    <row r="826" spans="10:10" ht="15.75" customHeight="1" x14ac:dyDescent="0.25">
      <c r="J826" s="40"/>
    </row>
    <row r="827" spans="10:10" ht="15.75" customHeight="1" x14ac:dyDescent="0.25">
      <c r="J827" s="40"/>
    </row>
    <row r="828" spans="10:10" ht="15.75" customHeight="1" x14ac:dyDescent="0.25">
      <c r="J828" s="40"/>
    </row>
    <row r="829" spans="10:10" ht="15.75" customHeight="1" x14ac:dyDescent="0.25">
      <c r="J829" s="40"/>
    </row>
    <row r="830" spans="10:10" ht="15.75" customHeight="1" x14ac:dyDescent="0.25">
      <c r="J830" s="40"/>
    </row>
    <row r="831" spans="10:10" ht="15.75" customHeight="1" x14ac:dyDescent="0.25">
      <c r="J831" s="40"/>
    </row>
    <row r="832" spans="10:10" ht="15.75" customHeight="1" x14ac:dyDescent="0.25">
      <c r="J832" s="40"/>
    </row>
    <row r="833" spans="10:10" ht="15.75" customHeight="1" x14ac:dyDescent="0.25">
      <c r="J833" s="40"/>
    </row>
    <row r="834" spans="10:10" ht="15.75" customHeight="1" x14ac:dyDescent="0.25">
      <c r="J834" s="40"/>
    </row>
    <row r="835" spans="10:10" ht="15.75" customHeight="1" x14ac:dyDescent="0.25">
      <c r="J835" s="40"/>
    </row>
    <row r="836" spans="10:10" ht="15.75" customHeight="1" x14ac:dyDescent="0.25">
      <c r="J836" s="40"/>
    </row>
    <row r="837" spans="10:10" ht="15.75" customHeight="1" x14ac:dyDescent="0.25">
      <c r="J837" s="40"/>
    </row>
    <row r="838" spans="10:10" ht="15.75" customHeight="1" x14ac:dyDescent="0.25">
      <c r="J838" s="40"/>
    </row>
    <row r="839" spans="10:10" ht="15.75" customHeight="1" x14ac:dyDescent="0.25">
      <c r="J839" s="40"/>
    </row>
    <row r="840" spans="10:10" ht="15.75" customHeight="1" x14ac:dyDescent="0.25">
      <c r="J840" s="40"/>
    </row>
    <row r="841" spans="10:10" ht="15.75" customHeight="1" x14ac:dyDescent="0.25">
      <c r="J841" s="40"/>
    </row>
    <row r="842" spans="10:10" ht="15.75" customHeight="1" x14ac:dyDescent="0.25">
      <c r="J842" s="40"/>
    </row>
    <row r="843" spans="10:10" ht="15.75" customHeight="1" x14ac:dyDescent="0.25">
      <c r="J843" s="40"/>
    </row>
    <row r="844" spans="10:10" ht="15.75" customHeight="1" x14ac:dyDescent="0.25">
      <c r="J844" s="40"/>
    </row>
    <row r="845" spans="10:10" ht="15.75" customHeight="1" x14ac:dyDescent="0.25">
      <c r="J845" s="40"/>
    </row>
    <row r="846" spans="10:10" ht="15.75" customHeight="1" x14ac:dyDescent="0.25">
      <c r="J846" s="40"/>
    </row>
    <row r="847" spans="10:10" ht="15.75" customHeight="1" x14ac:dyDescent="0.25">
      <c r="J847" s="40"/>
    </row>
    <row r="848" spans="10:10" ht="15.75" customHeight="1" x14ac:dyDescent="0.25">
      <c r="J848" s="40"/>
    </row>
    <row r="849" spans="10:10" ht="15.75" customHeight="1" x14ac:dyDescent="0.25">
      <c r="J849" s="40"/>
    </row>
    <row r="850" spans="10:10" ht="15.75" customHeight="1" x14ac:dyDescent="0.25">
      <c r="J850" s="40"/>
    </row>
    <row r="851" spans="10:10" ht="15.75" customHeight="1" x14ac:dyDescent="0.25">
      <c r="J851" s="40"/>
    </row>
    <row r="852" spans="10:10" ht="15.75" customHeight="1" x14ac:dyDescent="0.25">
      <c r="J852" s="40"/>
    </row>
    <row r="853" spans="10:10" ht="15.75" customHeight="1" x14ac:dyDescent="0.25">
      <c r="J853" s="40"/>
    </row>
    <row r="854" spans="10:10" ht="15.75" customHeight="1" x14ac:dyDescent="0.25">
      <c r="J854" s="40"/>
    </row>
    <row r="855" spans="10:10" ht="15.75" customHeight="1" x14ac:dyDescent="0.25">
      <c r="J855" s="40"/>
    </row>
    <row r="856" spans="10:10" ht="15.75" customHeight="1" x14ac:dyDescent="0.25">
      <c r="J856" s="40"/>
    </row>
    <row r="857" spans="10:10" ht="15.75" customHeight="1" x14ac:dyDescent="0.25">
      <c r="J857" s="40"/>
    </row>
    <row r="858" spans="10:10" ht="15.75" customHeight="1" x14ac:dyDescent="0.25">
      <c r="J858" s="40"/>
    </row>
    <row r="859" spans="10:10" ht="15.75" customHeight="1" x14ac:dyDescent="0.25">
      <c r="J859" s="40"/>
    </row>
    <row r="860" spans="10:10" ht="15.75" customHeight="1" x14ac:dyDescent="0.25">
      <c r="J860" s="40"/>
    </row>
    <row r="861" spans="10:10" ht="15.75" customHeight="1" x14ac:dyDescent="0.25">
      <c r="J861" s="40"/>
    </row>
    <row r="862" spans="10:10" ht="15.75" customHeight="1" x14ac:dyDescent="0.25">
      <c r="J862" s="40"/>
    </row>
    <row r="863" spans="10:10" ht="15.75" customHeight="1" x14ac:dyDescent="0.25">
      <c r="J863" s="40"/>
    </row>
    <row r="864" spans="10:10" ht="15.75" customHeight="1" x14ac:dyDescent="0.25">
      <c r="J864" s="40"/>
    </row>
    <row r="865" spans="10:10" ht="15.75" customHeight="1" x14ac:dyDescent="0.25">
      <c r="J865" s="40"/>
    </row>
    <row r="866" spans="10:10" ht="15.75" customHeight="1" x14ac:dyDescent="0.25">
      <c r="J866" s="40"/>
    </row>
    <row r="867" spans="10:10" ht="15.75" customHeight="1" x14ac:dyDescent="0.25">
      <c r="J867" s="40"/>
    </row>
    <row r="868" spans="10:10" ht="15.75" customHeight="1" x14ac:dyDescent="0.25">
      <c r="J868" s="40"/>
    </row>
    <row r="869" spans="10:10" ht="15.75" customHeight="1" x14ac:dyDescent="0.25">
      <c r="J869" s="40"/>
    </row>
    <row r="870" spans="10:10" ht="15.75" customHeight="1" x14ac:dyDescent="0.25">
      <c r="J870" s="40"/>
    </row>
    <row r="871" spans="10:10" ht="15.75" customHeight="1" x14ac:dyDescent="0.25">
      <c r="J871" s="40"/>
    </row>
    <row r="872" spans="10:10" ht="15.75" customHeight="1" x14ac:dyDescent="0.25">
      <c r="J872" s="40"/>
    </row>
    <row r="873" spans="10:10" ht="15.75" customHeight="1" x14ac:dyDescent="0.25">
      <c r="J873" s="40"/>
    </row>
    <row r="874" spans="10:10" ht="15.75" customHeight="1" x14ac:dyDescent="0.25">
      <c r="J874" s="40"/>
    </row>
    <row r="875" spans="10:10" ht="15.75" customHeight="1" x14ac:dyDescent="0.25">
      <c r="J875" s="40"/>
    </row>
    <row r="876" spans="10:10" ht="15.75" customHeight="1" x14ac:dyDescent="0.25">
      <c r="J876" s="40"/>
    </row>
    <row r="877" spans="10:10" ht="15.75" customHeight="1" x14ac:dyDescent="0.25">
      <c r="J877" s="40"/>
    </row>
    <row r="878" spans="10:10" ht="15.75" customHeight="1" x14ac:dyDescent="0.25">
      <c r="J878" s="40"/>
    </row>
    <row r="879" spans="10:10" ht="15.75" customHeight="1" x14ac:dyDescent="0.25">
      <c r="J879" s="40"/>
    </row>
    <row r="880" spans="10:10" ht="15.75" customHeight="1" x14ac:dyDescent="0.25">
      <c r="J880" s="40"/>
    </row>
    <row r="881" spans="10:10" ht="15.75" customHeight="1" x14ac:dyDescent="0.25">
      <c r="J881" s="40"/>
    </row>
    <row r="882" spans="10:10" ht="15.75" customHeight="1" x14ac:dyDescent="0.25">
      <c r="J882" s="40"/>
    </row>
    <row r="883" spans="10:10" ht="15.75" customHeight="1" x14ac:dyDescent="0.25">
      <c r="J883" s="40"/>
    </row>
    <row r="884" spans="10:10" ht="15.75" customHeight="1" x14ac:dyDescent="0.25">
      <c r="J884" s="40"/>
    </row>
    <row r="885" spans="10:10" ht="15.75" customHeight="1" x14ac:dyDescent="0.25">
      <c r="J885" s="40"/>
    </row>
    <row r="886" spans="10:10" ht="15.75" customHeight="1" x14ac:dyDescent="0.25">
      <c r="J886" s="40"/>
    </row>
    <row r="887" spans="10:10" ht="15.75" customHeight="1" x14ac:dyDescent="0.25">
      <c r="J887" s="40"/>
    </row>
    <row r="888" spans="10:10" ht="15.75" customHeight="1" x14ac:dyDescent="0.25">
      <c r="J888" s="40"/>
    </row>
    <row r="889" spans="10:10" ht="15.75" customHeight="1" x14ac:dyDescent="0.25">
      <c r="J889" s="40"/>
    </row>
    <row r="890" spans="10:10" ht="15.75" customHeight="1" x14ac:dyDescent="0.25">
      <c r="J890" s="40"/>
    </row>
    <row r="891" spans="10:10" ht="15.75" customHeight="1" x14ac:dyDescent="0.25">
      <c r="J891" s="40"/>
    </row>
    <row r="892" spans="10:10" ht="15.75" customHeight="1" x14ac:dyDescent="0.25">
      <c r="J892" s="40"/>
    </row>
    <row r="893" spans="10:10" ht="15.75" customHeight="1" x14ac:dyDescent="0.25">
      <c r="J893" s="40"/>
    </row>
    <row r="894" spans="10:10" ht="15.75" customHeight="1" x14ac:dyDescent="0.25">
      <c r="J894" s="40"/>
    </row>
    <row r="895" spans="10:10" ht="15.75" customHeight="1" x14ac:dyDescent="0.25">
      <c r="J895" s="40"/>
    </row>
    <row r="896" spans="10:10" ht="15.75" customHeight="1" x14ac:dyDescent="0.25">
      <c r="J896" s="40"/>
    </row>
    <row r="897" spans="10:10" ht="15.75" customHeight="1" x14ac:dyDescent="0.25">
      <c r="J897" s="40"/>
    </row>
    <row r="898" spans="10:10" ht="15.75" customHeight="1" x14ac:dyDescent="0.25">
      <c r="J898" s="40"/>
    </row>
    <row r="899" spans="10:10" ht="15.75" customHeight="1" x14ac:dyDescent="0.25">
      <c r="J899" s="40"/>
    </row>
    <row r="900" spans="10:10" ht="15.75" customHeight="1" x14ac:dyDescent="0.25">
      <c r="J900" s="40"/>
    </row>
    <row r="901" spans="10:10" ht="15.75" customHeight="1" x14ac:dyDescent="0.25">
      <c r="J901" s="40"/>
    </row>
    <row r="902" spans="10:10" ht="15.75" customHeight="1" x14ac:dyDescent="0.25">
      <c r="J902" s="40"/>
    </row>
    <row r="903" spans="10:10" ht="15.75" customHeight="1" x14ac:dyDescent="0.25">
      <c r="J903" s="40"/>
    </row>
    <row r="904" spans="10:10" ht="15.75" customHeight="1" x14ac:dyDescent="0.25">
      <c r="J904" s="40"/>
    </row>
    <row r="905" spans="10:10" ht="15.75" customHeight="1" x14ac:dyDescent="0.25">
      <c r="J905" s="40"/>
    </row>
    <row r="906" spans="10:10" ht="15.75" customHeight="1" x14ac:dyDescent="0.25">
      <c r="J906" s="40"/>
    </row>
    <row r="907" spans="10:10" ht="15.75" customHeight="1" x14ac:dyDescent="0.25">
      <c r="J907" s="40"/>
    </row>
    <row r="908" spans="10:10" ht="15.75" customHeight="1" x14ac:dyDescent="0.25">
      <c r="J908" s="40"/>
    </row>
    <row r="909" spans="10:10" ht="15.75" customHeight="1" x14ac:dyDescent="0.25">
      <c r="J909" s="40"/>
    </row>
    <row r="910" spans="10:10" ht="15.75" customHeight="1" x14ac:dyDescent="0.25">
      <c r="J910" s="40"/>
    </row>
    <row r="911" spans="10:10" ht="15.75" customHeight="1" x14ac:dyDescent="0.25">
      <c r="J911" s="40"/>
    </row>
    <row r="912" spans="10:10" ht="15.75" customHeight="1" x14ac:dyDescent="0.25">
      <c r="J912" s="40"/>
    </row>
    <row r="913" spans="10:10" ht="15.75" customHeight="1" x14ac:dyDescent="0.25">
      <c r="J913" s="40"/>
    </row>
    <row r="914" spans="10:10" ht="15.75" customHeight="1" x14ac:dyDescent="0.25">
      <c r="J914" s="40"/>
    </row>
    <row r="915" spans="10:10" ht="15.75" customHeight="1" x14ac:dyDescent="0.25">
      <c r="J915" s="40"/>
    </row>
    <row r="916" spans="10:10" ht="15.75" customHeight="1" x14ac:dyDescent="0.25">
      <c r="J916" s="40"/>
    </row>
    <row r="917" spans="10:10" ht="15.75" customHeight="1" x14ac:dyDescent="0.25">
      <c r="J917" s="40"/>
    </row>
    <row r="918" spans="10:10" ht="15.75" customHeight="1" x14ac:dyDescent="0.25">
      <c r="J918" s="40"/>
    </row>
    <row r="919" spans="10:10" ht="15.75" customHeight="1" x14ac:dyDescent="0.25">
      <c r="J919" s="40"/>
    </row>
    <row r="920" spans="10:10" ht="15.75" customHeight="1" x14ac:dyDescent="0.25">
      <c r="J920" s="40"/>
    </row>
    <row r="921" spans="10:10" ht="15.75" customHeight="1" x14ac:dyDescent="0.25">
      <c r="J921" s="40"/>
    </row>
    <row r="922" spans="10:10" ht="15.75" customHeight="1" x14ac:dyDescent="0.25">
      <c r="J922" s="40"/>
    </row>
    <row r="923" spans="10:10" ht="15.75" customHeight="1" x14ac:dyDescent="0.25">
      <c r="J923" s="40"/>
    </row>
    <row r="924" spans="10:10" ht="15.75" customHeight="1" x14ac:dyDescent="0.25">
      <c r="J924" s="40"/>
    </row>
    <row r="925" spans="10:10" ht="15.75" customHeight="1" x14ac:dyDescent="0.25">
      <c r="J925" s="40"/>
    </row>
    <row r="926" spans="10:10" ht="15.75" customHeight="1" x14ac:dyDescent="0.25">
      <c r="J926" s="40"/>
    </row>
    <row r="927" spans="10:10" ht="15.75" customHeight="1" x14ac:dyDescent="0.25">
      <c r="J927" s="40"/>
    </row>
    <row r="928" spans="10:10" ht="15.75" customHeight="1" x14ac:dyDescent="0.25">
      <c r="J928" s="40"/>
    </row>
    <row r="929" spans="10:10" ht="15.75" customHeight="1" x14ac:dyDescent="0.25">
      <c r="J929" s="40"/>
    </row>
    <row r="930" spans="10:10" ht="15.75" customHeight="1" x14ac:dyDescent="0.25">
      <c r="J930" s="40"/>
    </row>
    <row r="931" spans="10:10" ht="15.75" customHeight="1" x14ac:dyDescent="0.25">
      <c r="J931" s="40"/>
    </row>
    <row r="932" spans="10:10" ht="15.75" customHeight="1" x14ac:dyDescent="0.25">
      <c r="J932" s="40"/>
    </row>
    <row r="933" spans="10:10" ht="15.75" customHeight="1" x14ac:dyDescent="0.25">
      <c r="J933" s="40"/>
    </row>
    <row r="934" spans="10:10" ht="15.75" customHeight="1" x14ac:dyDescent="0.25">
      <c r="J934" s="40"/>
    </row>
    <row r="935" spans="10:10" ht="15.75" customHeight="1" x14ac:dyDescent="0.25">
      <c r="J935" s="40"/>
    </row>
    <row r="936" spans="10:10" ht="15.75" customHeight="1" x14ac:dyDescent="0.25">
      <c r="J936" s="40"/>
    </row>
    <row r="937" spans="10:10" ht="15.75" customHeight="1" x14ac:dyDescent="0.25">
      <c r="J937" s="40"/>
    </row>
    <row r="938" spans="10:10" ht="15.75" customHeight="1" x14ac:dyDescent="0.25">
      <c r="J938" s="40"/>
    </row>
    <row r="939" spans="10:10" ht="15.75" customHeight="1" x14ac:dyDescent="0.25">
      <c r="J939" s="40"/>
    </row>
    <row r="940" spans="10:10" ht="15.75" customHeight="1" x14ac:dyDescent="0.25">
      <c r="J940" s="40"/>
    </row>
    <row r="941" spans="10:10" ht="15.75" customHeight="1" x14ac:dyDescent="0.25">
      <c r="J941" s="40"/>
    </row>
    <row r="942" spans="10:10" ht="15.75" customHeight="1" x14ac:dyDescent="0.25">
      <c r="J942" s="40"/>
    </row>
    <row r="943" spans="10:10" ht="15.75" customHeight="1" x14ac:dyDescent="0.25">
      <c r="J943" s="40"/>
    </row>
    <row r="944" spans="10:10" ht="15.75" customHeight="1" x14ac:dyDescent="0.25">
      <c r="J944" s="40"/>
    </row>
    <row r="945" spans="10:10" ht="15.75" customHeight="1" x14ac:dyDescent="0.25">
      <c r="J945" s="40"/>
    </row>
    <row r="946" spans="10:10" ht="15.75" customHeight="1" x14ac:dyDescent="0.25">
      <c r="J946" s="40"/>
    </row>
    <row r="947" spans="10:10" ht="15.75" customHeight="1" x14ac:dyDescent="0.25">
      <c r="J947" s="40"/>
    </row>
    <row r="948" spans="10:10" ht="15.75" customHeight="1" x14ac:dyDescent="0.25">
      <c r="J948" s="40"/>
    </row>
    <row r="949" spans="10:10" ht="15.75" customHeight="1" x14ac:dyDescent="0.25">
      <c r="J949" s="40"/>
    </row>
    <row r="950" spans="10:10" ht="15.75" customHeight="1" x14ac:dyDescent="0.25">
      <c r="J950" s="40"/>
    </row>
    <row r="951" spans="10:10" ht="15.75" customHeight="1" x14ac:dyDescent="0.25">
      <c r="J951" s="40"/>
    </row>
    <row r="952" spans="10:10" ht="15.75" customHeight="1" x14ac:dyDescent="0.25">
      <c r="J952" s="40"/>
    </row>
    <row r="953" spans="10:10" ht="15.75" customHeight="1" x14ac:dyDescent="0.25">
      <c r="J953" s="40"/>
    </row>
    <row r="954" spans="10:10" ht="15.75" customHeight="1" x14ac:dyDescent="0.25">
      <c r="J954" s="40"/>
    </row>
    <row r="955" spans="10:10" ht="15.75" customHeight="1" x14ac:dyDescent="0.25">
      <c r="J955" s="40"/>
    </row>
    <row r="956" spans="10:10" ht="15.75" customHeight="1" x14ac:dyDescent="0.25">
      <c r="J956" s="40"/>
    </row>
    <row r="957" spans="10:10" ht="15.75" customHeight="1" x14ac:dyDescent="0.25">
      <c r="J957" s="40"/>
    </row>
    <row r="958" spans="10:10" ht="15.75" customHeight="1" x14ac:dyDescent="0.25">
      <c r="J958" s="40"/>
    </row>
    <row r="959" spans="10:10" ht="15.75" customHeight="1" x14ac:dyDescent="0.25">
      <c r="J959" s="40"/>
    </row>
    <row r="960" spans="10:10" ht="15.75" customHeight="1" x14ac:dyDescent="0.25">
      <c r="J960" s="40"/>
    </row>
    <row r="961" spans="10:10" ht="15.75" customHeight="1" x14ac:dyDescent="0.25">
      <c r="J961" s="40"/>
    </row>
    <row r="962" spans="10:10" ht="15.75" customHeight="1" x14ac:dyDescent="0.25">
      <c r="J962" s="40"/>
    </row>
    <row r="963" spans="10:10" ht="15.75" customHeight="1" x14ac:dyDescent="0.25">
      <c r="J963" s="40"/>
    </row>
    <row r="964" spans="10:10" ht="15.75" customHeight="1" x14ac:dyDescent="0.25">
      <c r="J964" s="40"/>
    </row>
    <row r="965" spans="10:10" ht="15.75" customHeight="1" x14ac:dyDescent="0.25">
      <c r="J965" s="40"/>
    </row>
    <row r="966" spans="10:10" ht="15.75" customHeight="1" x14ac:dyDescent="0.25">
      <c r="J966" s="40"/>
    </row>
    <row r="967" spans="10:10" ht="15.75" customHeight="1" x14ac:dyDescent="0.25">
      <c r="J967" s="40"/>
    </row>
    <row r="968" spans="10:10" ht="15.75" customHeight="1" x14ac:dyDescent="0.25">
      <c r="J968" s="40"/>
    </row>
    <row r="969" spans="10:10" ht="15.75" customHeight="1" x14ac:dyDescent="0.25">
      <c r="J969" s="40"/>
    </row>
    <row r="970" spans="10:10" ht="15.75" customHeight="1" x14ac:dyDescent="0.25">
      <c r="J970" s="40"/>
    </row>
    <row r="971" spans="10:10" ht="15.75" customHeight="1" x14ac:dyDescent="0.25">
      <c r="J971" s="40"/>
    </row>
    <row r="972" spans="10:10" ht="15.75" customHeight="1" x14ac:dyDescent="0.25">
      <c r="J972" s="40"/>
    </row>
    <row r="973" spans="10:10" ht="15.75" customHeight="1" x14ac:dyDescent="0.25">
      <c r="J973" s="40"/>
    </row>
    <row r="974" spans="10:10" ht="15.75" customHeight="1" x14ac:dyDescent="0.25">
      <c r="J974" s="40"/>
    </row>
    <row r="975" spans="10:10" ht="15.75" customHeight="1" x14ac:dyDescent="0.25">
      <c r="J975" s="40"/>
    </row>
    <row r="976" spans="10:10" ht="15.75" customHeight="1" x14ac:dyDescent="0.25">
      <c r="J976" s="40"/>
    </row>
    <row r="977" spans="10:10" ht="15.75" customHeight="1" x14ac:dyDescent="0.25">
      <c r="J977" s="40"/>
    </row>
    <row r="978" spans="10:10" ht="15.75" customHeight="1" x14ac:dyDescent="0.25">
      <c r="J978" s="40"/>
    </row>
    <row r="979" spans="10:10" ht="15.75" customHeight="1" x14ac:dyDescent="0.25">
      <c r="J979" s="40"/>
    </row>
    <row r="980" spans="10:10" ht="15.75" customHeight="1" x14ac:dyDescent="0.25">
      <c r="J980" s="40"/>
    </row>
    <row r="981" spans="10:10" ht="15.75" customHeight="1" x14ac:dyDescent="0.25">
      <c r="J981" s="40"/>
    </row>
    <row r="982" spans="10:10" ht="15.75" customHeight="1" x14ac:dyDescent="0.25">
      <c r="J982" s="40"/>
    </row>
    <row r="983" spans="10:10" ht="15.75" customHeight="1" x14ac:dyDescent="0.25">
      <c r="J983" s="40"/>
    </row>
    <row r="984" spans="10:10" ht="15.75" customHeight="1" x14ac:dyDescent="0.25">
      <c r="J984" s="40"/>
    </row>
    <row r="985" spans="10:10" ht="15.75" customHeight="1" x14ac:dyDescent="0.25">
      <c r="J985" s="40"/>
    </row>
    <row r="986" spans="10:10" ht="15.75" customHeight="1" x14ac:dyDescent="0.25">
      <c r="J986" s="40"/>
    </row>
    <row r="987" spans="10:10" ht="15.75" customHeight="1" x14ac:dyDescent="0.25">
      <c r="J987" s="40"/>
    </row>
    <row r="988" spans="10:10" ht="15.75" customHeight="1" x14ac:dyDescent="0.25">
      <c r="J988" s="40"/>
    </row>
    <row r="989" spans="10:10" ht="15.75" customHeight="1" x14ac:dyDescent="0.25">
      <c r="J989" s="40"/>
    </row>
    <row r="990" spans="10:10" ht="15.75" customHeight="1" x14ac:dyDescent="0.25">
      <c r="J990" s="40"/>
    </row>
    <row r="991" spans="10:10" ht="15.75" customHeight="1" x14ac:dyDescent="0.25">
      <c r="J991" s="40"/>
    </row>
    <row r="992" spans="10:10" ht="15.75" customHeight="1" x14ac:dyDescent="0.25">
      <c r="J992" s="40"/>
    </row>
    <row r="993" spans="10:10" ht="15.75" customHeight="1" x14ac:dyDescent="0.25">
      <c r="J993" s="40"/>
    </row>
    <row r="994" spans="10:10" ht="15.75" customHeight="1" x14ac:dyDescent="0.25">
      <c r="J994" s="40"/>
    </row>
    <row r="995" spans="10:10" ht="15.75" customHeight="1" x14ac:dyDescent="0.25">
      <c r="J995" s="40"/>
    </row>
    <row r="996" spans="10:10" ht="15.75" customHeight="1" x14ac:dyDescent="0.25">
      <c r="J996" s="40"/>
    </row>
    <row r="997" spans="10:10" ht="15.75" customHeight="1" x14ac:dyDescent="0.25">
      <c r="J997" s="40"/>
    </row>
    <row r="998" spans="10:10" ht="15.75" customHeight="1" x14ac:dyDescent="0.25">
      <c r="J998" s="40"/>
    </row>
    <row r="999" spans="10:10" ht="15.75" customHeight="1" x14ac:dyDescent="0.25">
      <c r="J999" s="40"/>
    </row>
    <row r="1000" spans="10:10" ht="15.75" customHeight="1" x14ac:dyDescent="0.25">
      <c r="J1000" s="40"/>
    </row>
    <row r="1001" spans="10:10" ht="15.75" customHeight="1" x14ac:dyDescent="0.25">
      <c r="J1001" s="40"/>
    </row>
    <row r="1002" spans="10:10" ht="15.75" customHeight="1" x14ac:dyDescent="0.25">
      <c r="J1002" s="40"/>
    </row>
  </sheetData>
  <autoFilter ref="A1:L1002"/>
  <conditionalFormatting sqref="C1:C1002">
    <cfRule type="cellIs" dxfId="17" priority="5" operator="equal">
      <formula>"In-progress"</formula>
    </cfRule>
    <cfRule type="cellIs" dxfId="16" priority="6" operator="equal">
      <formula>"Open"</formula>
    </cfRule>
    <cfRule type="cellIs" dxfId="15" priority="7" operator="equal">
      <formula>"Completed"</formula>
    </cfRule>
  </conditionalFormatting>
  <conditionalFormatting sqref="H1:H1002">
    <cfRule type="cellIs" dxfId="14" priority="8" operator="equal">
      <formula>"Yes"</formula>
    </cfRule>
  </conditionalFormatting>
  <conditionalFormatting sqref="H2:H212">
    <cfRule type="cellIs" dxfId="13" priority="2" operator="equal">
      <formula>"In Progress"</formula>
    </cfRule>
    <cfRule type="cellIs" dxfId="12" priority="3" operator="equal">
      <formula>"Testing"</formula>
    </cfRule>
    <cfRule type="cellIs" dxfId="11" priority="4" operator="equal">
      <formula>"Completed"</formula>
    </cfRule>
  </conditionalFormatting>
  <dataValidations count="2">
    <dataValidation type="list" allowBlank="1" showErrorMessage="1" sqref="H2:H7 H18:H212">
      <formula1>"Yes,No"</formula1>
      <formula2>0</formula2>
    </dataValidation>
    <dataValidation type="list" allowBlank="1" showErrorMessage="1" sqref="C2:C16 C18:C212">
      <formula1>"Open,In-progress,Cancelled,Completed"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zoomScaleNormal="100" workbookViewId="0"/>
  </sheetViews>
  <sheetFormatPr defaultColWidth="12.5546875" defaultRowHeight="15" customHeight="1" x14ac:dyDescent="0.25"/>
  <cols>
    <col min="1" max="1" width="1.44140625" customWidth="1"/>
    <col min="2" max="2" width="18.109375" customWidth="1"/>
    <col min="3" max="3" width="8" customWidth="1"/>
    <col min="4" max="4" width="14.21875" customWidth="1"/>
    <col min="5" max="8" width="8" customWidth="1"/>
    <col min="9" max="9" width="1.88671875" customWidth="1"/>
    <col min="10" max="10" width="8" customWidth="1"/>
    <col min="11" max="20" width="7.5546875" customWidth="1"/>
    <col min="21" max="26" width="15.109375" customWidth="1"/>
  </cols>
  <sheetData>
    <row r="1" spans="1:11" ht="12.75" customHeight="1" x14ac:dyDescent="0.25">
      <c r="A1" s="41"/>
      <c r="B1" s="42" t="s">
        <v>105</v>
      </c>
      <c r="C1" s="43"/>
      <c r="D1" s="41"/>
      <c r="E1" s="41"/>
      <c r="F1" s="41"/>
      <c r="G1" s="41"/>
      <c r="H1" s="41"/>
      <c r="I1" s="41"/>
      <c r="J1" s="44" t="s">
        <v>106</v>
      </c>
      <c r="K1" s="41"/>
    </row>
    <row r="2" spans="1:11" ht="12.75" customHeight="1" x14ac:dyDescent="0.25">
      <c r="A2" s="41"/>
      <c r="B2" s="45" t="s">
        <v>107</v>
      </c>
      <c r="C2" s="46">
        <f>COUNTIF('Traceability Matrix'!B:B,"&gt; ")-1</f>
        <v>19</v>
      </c>
      <c r="D2" s="41"/>
      <c r="E2" s="41"/>
      <c r="F2" s="41"/>
      <c r="G2" s="41"/>
      <c r="H2" s="41"/>
      <c r="I2" s="41"/>
      <c r="J2" s="41"/>
      <c r="K2" s="41"/>
    </row>
    <row r="3" spans="1:11" ht="12.75" customHeight="1" x14ac:dyDescent="0.25">
      <c r="A3" s="41"/>
      <c r="B3" s="47" t="s">
        <v>108</v>
      </c>
      <c r="C3" s="46">
        <f>COUNTIF('Traceability Matrix'!E:E,"&gt; ")-1-COUNTIF('Traceability Matrix'!E:E,"tbd")-COUNTIF('Traceability Matrix'!E:E,"to be done")--COUNTIF('Traceability Matrix'!E:E,"on hold")-COUNTIF('Traceability Matrix'!E:E,"hold")-COUNTIF('Traceability Matrix'!E:E,".")--COUNTIF('Traceability Matrix'!E:E,"-")-COUNTIF('Traceability Matrix'!E:E,"ok")--COUNTIF('Traceability Matrix'!E:E,"yes")--COUNTIF('Traceability Matrix'!E:E,"no")</f>
        <v>19</v>
      </c>
      <c r="D3" s="48"/>
      <c r="E3" s="41"/>
      <c r="F3" s="41"/>
      <c r="G3" s="41"/>
      <c r="H3" s="41"/>
      <c r="I3" s="41"/>
      <c r="J3" s="41"/>
      <c r="K3" s="41"/>
    </row>
    <row r="4" spans="1:11" ht="12.75" customHeight="1" x14ac:dyDescent="0.25">
      <c r="A4" s="41"/>
      <c r="B4" s="47" t="s">
        <v>109</v>
      </c>
      <c r="C4" s="46">
        <f>COUNTIF('Traceability Matrix'!F:F,"&gt; ")-1-COUNTIF('Traceability Matrix'!F:F,"tbd")-COUNTIF('Traceability Matrix'!F:F,"to be done")--COUNTIF('Traceability Matrix'!F:F,"on hold")-COUNTIF('Traceability Matrix'!F:F,"hold")-COUNTIF('Traceability Matrix'!F:F,".")--COUNTIF('Traceability Matrix'!F:F,"-")-COUNTIF('Traceability Matrix'!F:F,"ok")--COUNTIF('Traceability Matrix'!F:F,"yes")--COUNTIF('Traceability Matrix'!F:F,"no")</f>
        <v>19</v>
      </c>
      <c r="D4" s="48" t="str">
        <f>IF(C4&gt;C$3,"Fill design details!","")</f>
        <v/>
      </c>
      <c r="E4" s="41"/>
      <c r="F4" s="41"/>
      <c r="G4" s="41"/>
      <c r="H4" s="41"/>
      <c r="I4" s="41"/>
      <c r="J4" s="41"/>
      <c r="K4" s="41"/>
    </row>
    <row r="5" spans="1:11" ht="12.75" customHeight="1" x14ac:dyDescent="0.25">
      <c r="A5" s="41"/>
      <c r="B5" s="47" t="s">
        <v>110</v>
      </c>
      <c r="C5" s="46">
        <f>COUNTIF('Traceability Matrix'!G:G,"&gt; ")-1-COUNTIF('Traceability Matrix'!G:G,"tbd")-COUNTIF('Traceability Matrix'!G:G,"to be done")--COUNTIF('Traceability Matrix'!G:G,"on hold")-COUNTIF('Traceability Matrix'!G:G,"hold")-COUNTIF('Traceability Matrix'!G:G,".")--COUNTIF('Traceability Matrix'!G:G,"-")-COUNTIF('Traceability Matrix'!G:G,"ok")--COUNTIF('Traceability Matrix'!G:G,"yes")--COUNTIF('Traceability Matrix'!G:G,"no")</f>
        <v>19</v>
      </c>
      <c r="D5" s="48"/>
      <c r="E5" s="41"/>
      <c r="F5" s="41"/>
      <c r="G5" s="41"/>
      <c r="H5" s="41"/>
      <c r="I5" s="41"/>
      <c r="J5" s="41"/>
      <c r="K5" s="41"/>
    </row>
    <row r="6" spans="1:11" ht="12.75" customHeight="1" x14ac:dyDescent="0.25">
      <c r="A6" s="41"/>
      <c r="B6" s="49" t="s">
        <v>111</v>
      </c>
      <c r="C6" s="50">
        <f>COUNTIF('Traceability Matrix'!H:H,"Yes")</f>
        <v>17</v>
      </c>
      <c r="D6" s="48" t="str">
        <f>IF(C6&gt;C$3,"Fill design details!","")</f>
        <v/>
      </c>
      <c r="E6" s="41"/>
      <c r="F6" s="41"/>
      <c r="G6" s="41"/>
      <c r="H6" s="41"/>
      <c r="I6" s="41"/>
      <c r="J6" s="41"/>
      <c r="K6" s="41"/>
    </row>
    <row r="7" spans="1:11" ht="12.75" customHeight="1" x14ac:dyDescent="0.25">
      <c r="A7" s="41"/>
      <c r="B7" s="47" t="s">
        <v>112</v>
      </c>
      <c r="C7" s="51">
        <f>COUNTIF('Traceability Matrix'!I:I,"&gt; ")-1-COUNTIF('Traceability Matrix'!I:I,"tbd")-COUNTIF('Traceability Matrix'!I:I,"to be done")--COUNTIF('Traceability Matrix'!I:I,"on hold")-COUNTIF('Traceability Matrix'!I:I,"hold")-COUNTIF('Traceability Matrix'!I:I,".")--COUNTIF('Traceability Matrix'!I:I,"-")-COUNTIF('Traceability Matrix'!I:I,"ok")--COUNTIF('Traceability Matrix'!I:I,"yes")--COUNTIF('Traceability Matrix'!I:I,"no")</f>
        <v>19</v>
      </c>
      <c r="D7" s="48" t="str">
        <f>IF(C7&gt;C$3,"Fill design details!","")</f>
        <v/>
      </c>
      <c r="E7" s="41"/>
      <c r="F7" s="41"/>
      <c r="G7" s="41"/>
      <c r="H7" s="41"/>
      <c r="I7" s="41"/>
      <c r="J7" s="41"/>
      <c r="K7" s="41"/>
    </row>
    <row r="8" spans="1:11" ht="12.75" customHeight="1" x14ac:dyDescent="0.25">
      <c r="A8" s="41"/>
      <c r="B8" s="47" t="s">
        <v>113</v>
      </c>
      <c r="C8" s="51">
        <f>COUNTIF('Traceability Matrix'!K:K,"&gt; ")-1-COUNTIF('Traceability Matrix'!K:K,"tbd")-COUNTIF('Traceability Matrix'!K:K,"to be done")--COUNTIF('Traceability Matrix'!K:K,"on hold")-COUNTIF('Traceability Matrix'!K:K,"hold")-COUNTIF('Traceability Matrix'!K:K,".")--COUNTIF('Traceability Matrix'!K:K,"-")-COUNTIF('Traceability Matrix'!K:K,"ok")--COUNTIF('Traceability Matrix'!K:K,"yes")--COUNTIF('Traceability Matrix'!K:K,"no")</f>
        <v>19</v>
      </c>
      <c r="D8" s="48"/>
      <c r="E8" s="41"/>
      <c r="F8" s="41"/>
      <c r="G8" s="41"/>
      <c r="H8" s="41"/>
      <c r="I8" s="41"/>
      <c r="J8" s="41"/>
      <c r="K8" s="41"/>
    </row>
    <row r="9" spans="1:11" ht="12.75" customHeight="1" x14ac:dyDescent="0.25">
      <c r="A9" s="41"/>
      <c r="B9" s="52"/>
      <c r="C9" s="43"/>
      <c r="D9" s="41"/>
      <c r="E9" s="41"/>
      <c r="F9" s="41"/>
      <c r="G9" s="41"/>
      <c r="H9" s="41"/>
      <c r="I9" s="41"/>
      <c r="J9" s="41"/>
      <c r="K9" s="41"/>
    </row>
    <row r="10" spans="1:11" ht="12.75" customHeight="1" x14ac:dyDescent="0.25">
      <c r="A10" s="41"/>
      <c r="B10" s="10" t="s">
        <v>38</v>
      </c>
      <c r="C10" s="53">
        <f>COUNTIF('Traceability Matrix'!C:C,B10)</f>
        <v>17</v>
      </c>
      <c r="D10" s="41"/>
      <c r="E10" s="41"/>
      <c r="F10" s="41"/>
      <c r="G10" s="41"/>
      <c r="H10" s="41"/>
      <c r="I10" s="41"/>
      <c r="J10" s="41"/>
      <c r="K10" s="41"/>
    </row>
    <row r="11" spans="1:11" ht="12.75" customHeight="1" x14ac:dyDescent="0.25">
      <c r="A11" s="41"/>
      <c r="B11" s="54" t="s">
        <v>98</v>
      </c>
      <c r="C11" s="53">
        <f>COUNTIF('Traceability Matrix'!C:C,B11)</f>
        <v>0</v>
      </c>
      <c r="D11" s="41"/>
      <c r="E11" s="41"/>
      <c r="F11" s="41"/>
      <c r="G11" s="41"/>
      <c r="H11" s="41"/>
      <c r="I11" s="41"/>
      <c r="J11" s="41"/>
      <c r="K11" s="41"/>
    </row>
    <row r="12" spans="1:11" ht="12.75" customHeight="1" x14ac:dyDescent="0.25">
      <c r="A12" s="41"/>
      <c r="B12" s="54" t="s">
        <v>114</v>
      </c>
      <c r="C12" s="53">
        <f>COUNTIF('Traceability Matrix'!C:C,B12)</f>
        <v>2</v>
      </c>
      <c r="D12" s="41"/>
      <c r="E12" s="41"/>
      <c r="F12" s="41"/>
      <c r="G12" s="41"/>
      <c r="H12" s="41"/>
      <c r="I12" s="41"/>
      <c r="J12" s="41"/>
      <c r="K12" s="41"/>
    </row>
    <row r="13" spans="1:11" ht="12.75" customHeight="1" x14ac:dyDescent="0.25">
      <c r="A13" s="41"/>
      <c r="B13" s="54" t="s">
        <v>94</v>
      </c>
      <c r="C13" s="53">
        <f>COUNTIF('Traceability Matrix'!C:C,B13)</f>
        <v>0</v>
      </c>
      <c r="D13" s="41"/>
      <c r="E13" s="41"/>
      <c r="F13" s="41"/>
      <c r="G13" s="41"/>
      <c r="H13" s="41"/>
      <c r="I13" s="41"/>
      <c r="J13" s="41"/>
      <c r="K13" s="41"/>
    </row>
    <row r="14" spans="1:11" ht="12.75" customHeight="1" x14ac:dyDescent="0.25">
      <c r="A14" s="41"/>
      <c r="B14" s="41"/>
      <c r="C14" s="43"/>
      <c r="D14" s="41"/>
      <c r="E14" s="41"/>
      <c r="F14" s="41"/>
      <c r="G14" s="41"/>
      <c r="H14" s="41"/>
      <c r="I14" s="41"/>
      <c r="J14" s="41"/>
      <c r="K14" s="41"/>
    </row>
    <row r="15" spans="1:11" ht="12.75" customHeight="1" x14ac:dyDescent="0.25">
      <c r="A15" s="41"/>
      <c r="B15" s="41"/>
      <c r="C15" s="43"/>
      <c r="D15" s="41"/>
      <c r="E15" s="41"/>
      <c r="F15" s="41"/>
      <c r="G15" s="41"/>
      <c r="H15" s="41"/>
      <c r="I15" s="41"/>
      <c r="J15" s="41"/>
      <c r="K15" s="41"/>
    </row>
    <row r="16" spans="1:11" ht="12.75" customHeight="1" x14ac:dyDescent="0.25">
      <c r="A16" s="41"/>
      <c r="B16" s="41"/>
      <c r="C16" s="43"/>
      <c r="D16" s="41"/>
      <c r="E16" s="41"/>
      <c r="F16" s="41"/>
      <c r="G16" s="41"/>
      <c r="H16" s="41"/>
      <c r="I16" s="41"/>
      <c r="J16" s="41"/>
      <c r="K16" s="41"/>
    </row>
    <row r="17" spans="1:11" ht="12.75" customHeight="1" x14ac:dyDescent="0.25">
      <c r="A17" s="41"/>
      <c r="B17" s="41"/>
      <c r="C17" s="43"/>
      <c r="D17" s="41"/>
      <c r="E17" s="41"/>
      <c r="F17" s="41"/>
      <c r="G17" s="41"/>
      <c r="H17" s="41"/>
      <c r="I17" s="41"/>
      <c r="J17" s="41"/>
      <c r="K17" s="41"/>
    </row>
    <row r="18" spans="1:11" ht="12.75" customHeight="1" x14ac:dyDescent="0.25">
      <c r="A18" s="41"/>
      <c r="B18" s="41"/>
      <c r="C18" s="43"/>
      <c r="D18" s="41"/>
      <c r="E18" s="41"/>
      <c r="F18" s="41"/>
      <c r="G18" s="41"/>
      <c r="H18" s="41"/>
      <c r="I18" s="41"/>
      <c r="J18" s="41"/>
      <c r="K18" s="41"/>
    </row>
    <row r="19" spans="1:11" ht="12.75" customHeight="1" x14ac:dyDescent="0.25">
      <c r="A19" s="41"/>
      <c r="B19" s="41"/>
      <c r="C19" s="43"/>
      <c r="D19" s="41"/>
      <c r="E19" s="41"/>
      <c r="F19" s="41"/>
      <c r="G19" s="41"/>
      <c r="H19" s="41"/>
      <c r="I19" s="41"/>
      <c r="J19" s="41"/>
      <c r="K19" s="41"/>
    </row>
    <row r="20" spans="1:11" ht="12.75" customHeight="1" x14ac:dyDescent="0.25">
      <c r="A20" s="41"/>
      <c r="B20" s="41"/>
      <c r="C20" s="43"/>
      <c r="D20" s="41"/>
      <c r="E20" s="41"/>
      <c r="F20" s="41"/>
      <c r="G20" s="41"/>
      <c r="H20" s="41"/>
      <c r="I20" s="41"/>
      <c r="J20" s="41"/>
      <c r="K20" s="41"/>
    </row>
    <row r="21" spans="1:11" ht="12.75" customHeight="1" x14ac:dyDescent="0.25">
      <c r="A21" s="41"/>
      <c r="B21" s="41"/>
      <c r="C21" s="43"/>
      <c r="D21" s="41"/>
      <c r="E21" s="41"/>
      <c r="F21" s="41"/>
      <c r="G21" s="41"/>
      <c r="H21" s="41"/>
      <c r="I21" s="41"/>
      <c r="J21" s="41"/>
      <c r="K21" s="41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1:B1000">
    <cfRule type="cellIs" dxfId="10" priority="2" operator="equal">
      <formula>"In-progress"</formula>
    </cfRule>
    <cfRule type="cellIs" dxfId="9" priority="3" operator="equal">
      <formula>"Open"</formula>
    </cfRule>
    <cfRule type="cellIs" dxfId="8" priority="4" operator="equal">
      <formula>"Completed"</formula>
    </cfRule>
  </conditionalFormatting>
  <conditionalFormatting sqref="C3:C8">
    <cfRule type="cellIs" dxfId="7" priority="5" operator="equal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Traceability Matrix</vt:lpstr>
      <vt:lpstr>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Abhrajit</dc:creator>
  <dc:description/>
  <cp:lastModifiedBy>HP</cp:lastModifiedBy>
  <cp:revision>65</cp:revision>
  <dcterms:created xsi:type="dcterms:W3CDTF">2025-12-18T15:38:24Z</dcterms:created>
  <dcterms:modified xsi:type="dcterms:W3CDTF">2026-04-03T11:21:25Z</dcterms:modified>
  <dc:language>en-IN</dc:language>
</cp:coreProperties>
</file>